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bas\Desktop\2022_11 Sandra Plants\00 Data\"/>
    </mc:Choice>
  </mc:AlternateContent>
  <bookViews>
    <workbookView xWindow="0" yWindow="0" windowWidth="23040" windowHeight="9072"/>
  </bookViews>
  <sheets>
    <sheet name="CARD SOR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3" i="1" l="1"/>
  <c r="M133" i="1" s="1"/>
  <c r="K133" i="1"/>
  <c r="H133" i="1"/>
  <c r="I133" i="1" s="1"/>
  <c r="L132" i="1"/>
  <c r="M132" i="1" s="1"/>
  <c r="K132" i="1"/>
  <c r="H132" i="1"/>
  <c r="I132" i="1" s="1"/>
  <c r="L131" i="1"/>
  <c r="M131" i="1" s="1"/>
  <c r="K131" i="1"/>
  <c r="H131" i="1"/>
  <c r="I131" i="1" s="1"/>
  <c r="M130" i="1"/>
  <c r="L130" i="1"/>
  <c r="K130" i="1"/>
  <c r="H130" i="1"/>
  <c r="I130" i="1" s="1"/>
  <c r="L129" i="1"/>
  <c r="M129" i="1" s="1"/>
  <c r="K129" i="1"/>
  <c r="I129" i="1"/>
  <c r="H129" i="1"/>
  <c r="L128" i="1"/>
  <c r="M128" i="1" s="1"/>
  <c r="K128" i="1"/>
  <c r="H128" i="1"/>
  <c r="I128" i="1" s="1"/>
  <c r="L127" i="1"/>
  <c r="M127" i="1" s="1"/>
  <c r="K127" i="1"/>
  <c r="H127" i="1"/>
  <c r="I127" i="1" s="1"/>
  <c r="L126" i="1"/>
  <c r="M126" i="1" s="1"/>
  <c r="K126" i="1"/>
  <c r="H126" i="1"/>
  <c r="I126" i="1" s="1"/>
  <c r="L125" i="1"/>
  <c r="M125" i="1" s="1"/>
  <c r="K125" i="1"/>
  <c r="H125" i="1"/>
  <c r="I125" i="1" s="1"/>
  <c r="L124" i="1"/>
  <c r="M124" i="1" s="1"/>
  <c r="K124" i="1"/>
  <c r="H124" i="1"/>
  <c r="I124" i="1" s="1"/>
  <c r="L123" i="1"/>
  <c r="M123" i="1" s="1"/>
  <c r="K123" i="1"/>
  <c r="H123" i="1"/>
  <c r="I123" i="1" s="1"/>
  <c r="M122" i="1"/>
  <c r="L122" i="1"/>
  <c r="K122" i="1"/>
  <c r="H122" i="1"/>
  <c r="I122" i="1" s="1"/>
  <c r="L121" i="1"/>
  <c r="M121" i="1" s="1"/>
  <c r="K121" i="1"/>
  <c r="I121" i="1"/>
  <c r="H121" i="1"/>
  <c r="L120" i="1"/>
  <c r="M120" i="1" s="1"/>
  <c r="K120" i="1"/>
  <c r="H120" i="1"/>
  <c r="I120" i="1" s="1"/>
  <c r="L119" i="1"/>
  <c r="M119" i="1" s="1"/>
  <c r="K119" i="1"/>
  <c r="H119" i="1"/>
  <c r="I119" i="1" s="1"/>
  <c r="L118" i="1"/>
  <c r="M118" i="1" s="1"/>
  <c r="K118" i="1"/>
  <c r="H118" i="1"/>
  <c r="I118" i="1" s="1"/>
  <c r="M117" i="1"/>
  <c r="L117" i="1"/>
  <c r="K117" i="1"/>
  <c r="H117" i="1"/>
  <c r="I117" i="1" s="1"/>
  <c r="L116" i="1"/>
  <c r="M116" i="1" s="1"/>
  <c r="K116" i="1"/>
  <c r="I116" i="1"/>
  <c r="H116" i="1"/>
  <c r="L115" i="1"/>
  <c r="M115" i="1" s="1"/>
  <c r="K115" i="1"/>
  <c r="H115" i="1"/>
  <c r="I115" i="1" s="1"/>
  <c r="M114" i="1"/>
  <c r="L114" i="1"/>
  <c r="K114" i="1"/>
  <c r="H114" i="1"/>
  <c r="I114" i="1" s="1"/>
  <c r="L113" i="1"/>
  <c r="M113" i="1" s="1"/>
  <c r="K113" i="1"/>
  <c r="I113" i="1"/>
  <c r="H113" i="1"/>
  <c r="L112" i="1"/>
  <c r="M112" i="1" s="1"/>
  <c r="K112" i="1"/>
  <c r="H112" i="1"/>
  <c r="I112" i="1" s="1"/>
  <c r="L111" i="1"/>
  <c r="M111" i="1" s="1"/>
  <c r="K111" i="1"/>
  <c r="H111" i="1"/>
  <c r="I111" i="1" s="1"/>
  <c r="L110" i="1"/>
  <c r="M110" i="1" s="1"/>
  <c r="K110" i="1"/>
  <c r="H110" i="1"/>
  <c r="I110" i="1" s="1"/>
  <c r="M109" i="1"/>
  <c r="L109" i="1"/>
  <c r="K109" i="1"/>
  <c r="H109" i="1"/>
  <c r="I109" i="1" s="1"/>
  <c r="L108" i="1"/>
  <c r="M108" i="1" s="1"/>
  <c r="K108" i="1"/>
  <c r="I108" i="1"/>
  <c r="H108" i="1"/>
  <c r="L107" i="1"/>
  <c r="M107" i="1" s="1"/>
  <c r="K107" i="1"/>
  <c r="H107" i="1"/>
  <c r="I107" i="1" s="1"/>
  <c r="M106" i="1"/>
  <c r="L106" i="1"/>
  <c r="K106" i="1"/>
  <c r="H106" i="1"/>
  <c r="I106" i="1" s="1"/>
  <c r="L105" i="1"/>
  <c r="M105" i="1" s="1"/>
  <c r="K105" i="1"/>
  <c r="I105" i="1"/>
  <c r="H105" i="1"/>
  <c r="L104" i="1"/>
  <c r="M104" i="1" s="1"/>
  <c r="K104" i="1"/>
  <c r="H104" i="1"/>
  <c r="I104" i="1" s="1"/>
  <c r="L103" i="1"/>
  <c r="M103" i="1" s="1"/>
  <c r="K103" i="1"/>
  <c r="H103" i="1"/>
  <c r="I103" i="1" s="1"/>
  <c r="L102" i="1"/>
  <c r="M102" i="1" s="1"/>
  <c r="K102" i="1"/>
  <c r="H102" i="1"/>
  <c r="I102" i="1" s="1"/>
  <c r="M101" i="1"/>
  <c r="L101" i="1"/>
  <c r="K101" i="1"/>
  <c r="H101" i="1"/>
  <c r="I101" i="1" s="1"/>
  <c r="L100" i="1"/>
  <c r="M100" i="1" s="1"/>
  <c r="K100" i="1"/>
  <c r="I100" i="1"/>
  <c r="H100" i="1"/>
  <c r="L99" i="1"/>
  <c r="M99" i="1" s="1"/>
  <c r="K99" i="1"/>
  <c r="H99" i="1"/>
  <c r="I99" i="1" s="1"/>
  <c r="M98" i="1"/>
  <c r="L98" i="1"/>
  <c r="K98" i="1"/>
  <c r="H98" i="1"/>
  <c r="I98" i="1" s="1"/>
  <c r="L97" i="1"/>
  <c r="M97" i="1" s="1"/>
  <c r="K97" i="1"/>
  <c r="I97" i="1"/>
  <c r="H97" i="1"/>
  <c r="L96" i="1"/>
  <c r="M96" i="1" s="1"/>
  <c r="K96" i="1"/>
  <c r="H96" i="1"/>
  <c r="I96" i="1" s="1"/>
  <c r="L95" i="1"/>
  <c r="M95" i="1" s="1"/>
  <c r="K95" i="1"/>
  <c r="H95" i="1"/>
  <c r="I95" i="1" s="1"/>
  <c r="L94" i="1"/>
  <c r="M94" i="1" s="1"/>
  <c r="K94" i="1"/>
  <c r="H94" i="1"/>
  <c r="I94" i="1" s="1"/>
  <c r="M93" i="1"/>
  <c r="L93" i="1"/>
  <c r="K93" i="1"/>
  <c r="H93" i="1"/>
  <c r="I93" i="1" s="1"/>
  <c r="L92" i="1"/>
  <c r="M92" i="1" s="1"/>
  <c r="K92" i="1"/>
  <c r="I92" i="1"/>
  <c r="H92" i="1"/>
  <c r="L91" i="1"/>
  <c r="M91" i="1" s="1"/>
  <c r="K91" i="1"/>
  <c r="H91" i="1"/>
  <c r="I91" i="1" s="1"/>
  <c r="M90" i="1"/>
  <c r="L90" i="1"/>
  <c r="K90" i="1"/>
  <c r="H90" i="1"/>
  <c r="I90" i="1" s="1"/>
  <c r="L89" i="1"/>
  <c r="M89" i="1" s="1"/>
  <c r="K89" i="1"/>
  <c r="I89" i="1"/>
  <c r="H89" i="1"/>
  <c r="L88" i="1"/>
  <c r="M88" i="1" s="1"/>
  <c r="K88" i="1"/>
  <c r="H88" i="1"/>
  <c r="I88" i="1" s="1"/>
  <c r="L87" i="1"/>
  <c r="M87" i="1" s="1"/>
  <c r="K87" i="1"/>
  <c r="H87" i="1"/>
  <c r="I87" i="1" s="1"/>
  <c r="L86" i="1"/>
  <c r="M86" i="1" s="1"/>
  <c r="K86" i="1"/>
  <c r="H86" i="1"/>
  <c r="I86" i="1" s="1"/>
  <c r="M85" i="1"/>
  <c r="L85" i="1"/>
  <c r="K85" i="1"/>
  <c r="H85" i="1"/>
  <c r="I85" i="1" s="1"/>
  <c r="L84" i="1"/>
  <c r="M84" i="1" s="1"/>
  <c r="K84" i="1"/>
  <c r="H84" i="1"/>
  <c r="I84" i="1" s="1"/>
  <c r="L83" i="1"/>
  <c r="M83" i="1" s="1"/>
  <c r="K83" i="1"/>
  <c r="H83" i="1"/>
  <c r="I83" i="1" s="1"/>
  <c r="M82" i="1"/>
  <c r="L82" i="1"/>
  <c r="K82" i="1"/>
  <c r="H82" i="1"/>
  <c r="I82" i="1" s="1"/>
  <c r="L81" i="1"/>
  <c r="M81" i="1" s="1"/>
  <c r="K81" i="1"/>
  <c r="I81" i="1"/>
  <c r="H81" i="1"/>
  <c r="L80" i="1"/>
  <c r="M80" i="1" s="1"/>
  <c r="K80" i="1"/>
  <c r="H80" i="1"/>
  <c r="I80" i="1" s="1"/>
  <c r="L79" i="1"/>
  <c r="M79" i="1" s="1"/>
  <c r="K79" i="1"/>
  <c r="H79" i="1"/>
  <c r="I79" i="1" s="1"/>
  <c r="L78" i="1"/>
  <c r="M78" i="1" s="1"/>
  <c r="K78" i="1"/>
  <c r="H78" i="1"/>
  <c r="I78" i="1" s="1"/>
  <c r="L77" i="1"/>
  <c r="M77" i="1" s="1"/>
  <c r="K77" i="1"/>
  <c r="H77" i="1"/>
  <c r="I77" i="1" s="1"/>
  <c r="L76" i="1"/>
  <c r="M76" i="1" s="1"/>
  <c r="K76" i="1"/>
  <c r="H76" i="1"/>
  <c r="I76" i="1" s="1"/>
  <c r="L75" i="1"/>
  <c r="M75" i="1" s="1"/>
  <c r="K75" i="1"/>
  <c r="H75" i="1"/>
  <c r="I75" i="1" s="1"/>
  <c r="M74" i="1"/>
  <c r="L74" i="1"/>
  <c r="K74" i="1"/>
  <c r="H74" i="1"/>
  <c r="I74" i="1" s="1"/>
  <c r="L73" i="1"/>
  <c r="M73" i="1" s="1"/>
  <c r="K73" i="1"/>
  <c r="I73" i="1"/>
  <c r="H73" i="1"/>
  <c r="L72" i="1"/>
  <c r="M72" i="1" s="1"/>
  <c r="K72" i="1"/>
  <c r="H72" i="1"/>
  <c r="I72" i="1" s="1"/>
  <c r="L71" i="1"/>
  <c r="M71" i="1" s="1"/>
  <c r="K71" i="1"/>
  <c r="H71" i="1"/>
  <c r="I71" i="1" s="1"/>
  <c r="L70" i="1"/>
  <c r="M70" i="1" s="1"/>
  <c r="K70" i="1"/>
  <c r="H70" i="1"/>
  <c r="I70" i="1" s="1"/>
  <c r="L69" i="1"/>
  <c r="M69" i="1" s="1"/>
  <c r="K69" i="1"/>
  <c r="H69" i="1"/>
  <c r="I69" i="1" s="1"/>
  <c r="L68" i="1"/>
  <c r="M68" i="1" s="1"/>
  <c r="K68" i="1"/>
  <c r="H68" i="1"/>
  <c r="I68" i="1" s="1"/>
  <c r="L67" i="1"/>
  <c r="M67" i="1" s="1"/>
  <c r="K67" i="1"/>
  <c r="H67" i="1"/>
  <c r="I67" i="1" s="1"/>
  <c r="M66" i="1"/>
  <c r="L66" i="1"/>
  <c r="K66" i="1"/>
  <c r="H66" i="1"/>
  <c r="I66" i="1" s="1"/>
  <c r="L65" i="1"/>
  <c r="M65" i="1" s="1"/>
  <c r="K65" i="1"/>
  <c r="I65" i="1"/>
  <c r="H65" i="1"/>
  <c r="L64" i="1"/>
  <c r="M64" i="1" s="1"/>
  <c r="K64" i="1"/>
  <c r="H64" i="1"/>
  <c r="I64" i="1" s="1"/>
  <c r="L63" i="1"/>
  <c r="M63" i="1" s="1"/>
  <c r="K63" i="1"/>
  <c r="H63" i="1"/>
  <c r="I63" i="1" s="1"/>
  <c r="L62" i="1"/>
  <c r="M62" i="1" s="1"/>
  <c r="K62" i="1"/>
  <c r="H62" i="1"/>
  <c r="I62" i="1" s="1"/>
  <c r="L61" i="1"/>
  <c r="M61" i="1" s="1"/>
  <c r="K61" i="1"/>
  <c r="H61" i="1"/>
  <c r="I61" i="1" s="1"/>
  <c r="L60" i="1"/>
  <c r="M60" i="1" s="1"/>
  <c r="K60" i="1"/>
  <c r="H60" i="1"/>
  <c r="I60" i="1" s="1"/>
  <c r="L59" i="1"/>
  <c r="M59" i="1" s="1"/>
  <c r="K59" i="1"/>
  <c r="H59" i="1"/>
  <c r="I59" i="1" s="1"/>
  <c r="M58" i="1"/>
  <c r="L58" i="1"/>
  <c r="K58" i="1"/>
  <c r="H58" i="1"/>
  <c r="I58" i="1" s="1"/>
  <c r="L57" i="1"/>
  <c r="M57" i="1" s="1"/>
  <c r="K57" i="1"/>
  <c r="I57" i="1"/>
  <c r="H57" i="1"/>
  <c r="L56" i="1"/>
  <c r="M56" i="1" s="1"/>
  <c r="K56" i="1"/>
  <c r="H56" i="1"/>
  <c r="I56" i="1" s="1"/>
  <c r="L55" i="1"/>
  <c r="M55" i="1" s="1"/>
  <c r="K55" i="1"/>
  <c r="H55" i="1"/>
  <c r="I55" i="1" s="1"/>
  <c r="L54" i="1"/>
  <c r="M54" i="1" s="1"/>
  <c r="K54" i="1"/>
  <c r="H54" i="1"/>
  <c r="I54" i="1" s="1"/>
  <c r="L53" i="1"/>
  <c r="M53" i="1" s="1"/>
  <c r="K53" i="1"/>
  <c r="H53" i="1"/>
  <c r="I53" i="1" s="1"/>
  <c r="L52" i="1"/>
  <c r="M52" i="1" s="1"/>
  <c r="K52" i="1"/>
  <c r="H52" i="1"/>
  <c r="I52" i="1" s="1"/>
  <c r="M51" i="1"/>
  <c r="L51" i="1"/>
  <c r="K51" i="1"/>
  <c r="H51" i="1"/>
  <c r="I51" i="1" s="1"/>
  <c r="M50" i="1"/>
  <c r="L50" i="1"/>
  <c r="K50" i="1"/>
  <c r="I50" i="1"/>
  <c r="H50" i="1"/>
  <c r="L49" i="1"/>
  <c r="M49" i="1" s="1"/>
  <c r="K49" i="1"/>
  <c r="I49" i="1"/>
  <c r="H49" i="1"/>
  <c r="L48" i="1"/>
  <c r="M48" i="1" s="1"/>
  <c r="K48" i="1"/>
  <c r="H48" i="1"/>
  <c r="I48" i="1" s="1"/>
  <c r="L47" i="1"/>
  <c r="M47" i="1" s="1"/>
  <c r="K47" i="1"/>
  <c r="H47" i="1"/>
  <c r="I47" i="1" s="1"/>
  <c r="L46" i="1"/>
  <c r="M46" i="1" s="1"/>
  <c r="K46" i="1"/>
  <c r="H46" i="1"/>
  <c r="I46" i="1" s="1"/>
  <c r="L45" i="1"/>
  <c r="M45" i="1" s="1"/>
  <c r="K45" i="1"/>
  <c r="H45" i="1"/>
  <c r="I45" i="1" s="1"/>
  <c r="L44" i="1"/>
  <c r="M44" i="1" s="1"/>
  <c r="K44" i="1"/>
  <c r="H44" i="1"/>
  <c r="I44" i="1" s="1"/>
  <c r="L43" i="1"/>
  <c r="M43" i="1" s="1"/>
  <c r="K43" i="1"/>
  <c r="H43" i="1"/>
  <c r="I43" i="1" s="1"/>
  <c r="M42" i="1"/>
  <c r="L42" i="1"/>
  <c r="K42" i="1"/>
  <c r="H42" i="1"/>
  <c r="I42" i="1" s="1"/>
  <c r="L41" i="1"/>
  <c r="M41" i="1" s="1"/>
  <c r="K41" i="1"/>
  <c r="I41" i="1"/>
  <c r="H41" i="1"/>
  <c r="L40" i="1"/>
  <c r="M40" i="1" s="1"/>
  <c r="K40" i="1"/>
  <c r="H40" i="1"/>
  <c r="I40" i="1" s="1"/>
  <c r="L39" i="1"/>
  <c r="M39" i="1" s="1"/>
  <c r="K39" i="1"/>
  <c r="H39" i="1"/>
  <c r="I39" i="1" s="1"/>
  <c r="L38" i="1"/>
  <c r="M38" i="1" s="1"/>
  <c r="K38" i="1"/>
  <c r="H38" i="1"/>
  <c r="I38" i="1" s="1"/>
  <c r="L37" i="1"/>
  <c r="M37" i="1" s="1"/>
  <c r="K37" i="1"/>
  <c r="H37" i="1"/>
  <c r="I37" i="1" s="1"/>
  <c r="L36" i="1"/>
  <c r="M36" i="1" s="1"/>
  <c r="K36" i="1"/>
  <c r="H36" i="1"/>
  <c r="I36" i="1" s="1"/>
  <c r="L35" i="1"/>
  <c r="M35" i="1" s="1"/>
  <c r="K35" i="1"/>
  <c r="H35" i="1"/>
  <c r="I35" i="1" s="1"/>
  <c r="M34" i="1"/>
  <c r="L34" i="1"/>
  <c r="K34" i="1"/>
  <c r="H34" i="1"/>
  <c r="I34" i="1" s="1"/>
  <c r="L33" i="1"/>
  <c r="M33" i="1" s="1"/>
  <c r="K33" i="1"/>
  <c r="I33" i="1"/>
  <c r="H33" i="1"/>
  <c r="L32" i="1"/>
  <c r="M32" i="1" s="1"/>
  <c r="K32" i="1"/>
  <c r="H32" i="1"/>
  <c r="I32" i="1" s="1"/>
  <c r="L31" i="1"/>
  <c r="M31" i="1" s="1"/>
  <c r="K31" i="1"/>
  <c r="H31" i="1"/>
  <c r="I31" i="1" s="1"/>
  <c r="L30" i="1"/>
  <c r="M30" i="1" s="1"/>
  <c r="K30" i="1"/>
  <c r="H30" i="1"/>
  <c r="I30" i="1" s="1"/>
  <c r="L29" i="1"/>
  <c r="M29" i="1" s="1"/>
  <c r="K29" i="1"/>
  <c r="H29" i="1"/>
  <c r="I29" i="1" s="1"/>
  <c r="L28" i="1"/>
  <c r="M28" i="1" s="1"/>
  <c r="K28" i="1"/>
  <c r="H28" i="1"/>
  <c r="I28" i="1" s="1"/>
  <c r="L27" i="1"/>
  <c r="M27" i="1" s="1"/>
  <c r="K27" i="1"/>
  <c r="H27" i="1"/>
  <c r="I27" i="1" s="1"/>
  <c r="M26" i="1"/>
  <c r="L26" i="1"/>
  <c r="K26" i="1"/>
  <c r="H26" i="1"/>
  <c r="I26" i="1" s="1"/>
  <c r="L25" i="1"/>
  <c r="M25" i="1" s="1"/>
  <c r="K25" i="1"/>
  <c r="I25" i="1"/>
  <c r="H25" i="1"/>
  <c r="L24" i="1"/>
  <c r="M24" i="1" s="1"/>
  <c r="K24" i="1"/>
  <c r="H24" i="1"/>
  <c r="I24" i="1" s="1"/>
  <c r="L23" i="1"/>
  <c r="M23" i="1" s="1"/>
  <c r="K23" i="1"/>
  <c r="H23" i="1"/>
  <c r="I23" i="1" s="1"/>
  <c r="L22" i="1"/>
  <c r="M22" i="1" s="1"/>
  <c r="K22" i="1"/>
  <c r="H22" i="1"/>
  <c r="I22" i="1" s="1"/>
  <c r="L21" i="1"/>
  <c r="M21" i="1" s="1"/>
  <c r="K21" i="1"/>
  <c r="H21" i="1"/>
  <c r="I21" i="1" s="1"/>
  <c r="L20" i="1"/>
  <c r="M20" i="1" s="1"/>
  <c r="K20" i="1"/>
  <c r="H20" i="1"/>
  <c r="I20" i="1" s="1"/>
  <c r="L19" i="1"/>
  <c r="M19" i="1" s="1"/>
  <c r="K19" i="1"/>
  <c r="H19" i="1"/>
  <c r="I19" i="1" s="1"/>
  <c r="M18" i="1"/>
  <c r="L18" i="1"/>
  <c r="K18" i="1"/>
  <c r="H18" i="1"/>
  <c r="I18" i="1" s="1"/>
  <c r="L17" i="1"/>
  <c r="M17" i="1" s="1"/>
  <c r="K17" i="1"/>
  <c r="I17" i="1"/>
  <c r="H17" i="1"/>
  <c r="L16" i="1"/>
  <c r="M16" i="1" s="1"/>
  <c r="K16" i="1"/>
  <c r="H16" i="1"/>
  <c r="I16" i="1" s="1"/>
  <c r="L15" i="1"/>
  <c r="M15" i="1" s="1"/>
  <c r="K15" i="1"/>
  <c r="H15" i="1"/>
  <c r="I15" i="1" s="1"/>
  <c r="L14" i="1"/>
  <c r="M14" i="1" s="1"/>
  <c r="K14" i="1"/>
  <c r="H14" i="1"/>
  <c r="I14" i="1" s="1"/>
  <c r="L13" i="1"/>
  <c r="M13" i="1" s="1"/>
  <c r="K13" i="1"/>
  <c r="H13" i="1"/>
  <c r="I13" i="1" s="1"/>
  <c r="L12" i="1"/>
  <c r="M12" i="1" s="1"/>
  <c r="K12" i="1"/>
  <c r="H12" i="1"/>
  <c r="I12" i="1" s="1"/>
  <c r="L11" i="1"/>
  <c r="M11" i="1" s="1"/>
  <c r="K11" i="1"/>
  <c r="H11" i="1"/>
  <c r="I11" i="1" s="1"/>
  <c r="M10" i="1"/>
  <c r="L10" i="1"/>
  <c r="K10" i="1"/>
  <c r="H10" i="1"/>
  <c r="I10" i="1" s="1"/>
  <c r="L9" i="1"/>
  <c r="M9" i="1" s="1"/>
  <c r="K9" i="1"/>
  <c r="I9" i="1"/>
  <c r="H9" i="1"/>
  <c r="L8" i="1"/>
  <c r="M8" i="1" s="1"/>
  <c r="K8" i="1"/>
  <c r="H8" i="1"/>
  <c r="I8" i="1" s="1"/>
  <c r="L7" i="1"/>
  <c r="M7" i="1" s="1"/>
  <c r="K7" i="1"/>
  <c r="H7" i="1"/>
  <c r="I7" i="1" s="1"/>
  <c r="L6" i="1"/>
  <c r="M6" i="1" s="1"/>
  <c r="K6" i="1"/>
  <c r="H6" i="1"/>
  <c r="I6" i="1" s="1"/>
  <c r="L5" i="1"/>
  <c r="M5" i="1" s="1"/>
  <c r="K5" i="1"/>
  <c r="H5" i="1"/>
  <c r="I5" i="1" s="1"/>
  <c r="L4" i="1"/>
  <c r="M4" i="1" s="1"/>
  <c r="K4" i="1"/>
  <c r="H4" i="1"/>
  <c r="I4" i="1" s="1"/>
  <c r="L3" i="1"/>
  <c r="M3" i="1" s="1"/>
  <c r="K3" i="1"/>
  <c r="H3" i="1"/>
  <c r="I3" i="1" s="1"/>
  <c r="M2" i="1"/>
  <c r="L2" i="1"/>
  <c r="K2" i="1"/>
  <c r="H2" i="1"/>
  <c r="I2" i="1" s="1"/>
</calcChain>
</file>

<file path=xl/sharedStrings.xml><?xml version="1.0" encoding="utf-8"?>
<sst xmlns="http://schemas.openxmlformats.org/spreadsheetml/2006/main" count="410" uniqueCount="183">
  <si>
    <t>Ref Table</t>
  </si>
  <si>
    <t>Session</t>
  </si>
  <si>
    <t>Test</t>
  </si>
  <si>
    <t>Attempted matches</t>
  </si>
  <si>
    <t>Correct matches</t>
  </si>
  <si>
    <t>Errors</t>
  </si>
  <si>
    <t>Errors %</t>
  </si>
  <si>
    <t>Perseveration errors</t>
  </si>
  <si>
    <t>Perseveration errors %</t>
  </si>
  <si>
    <t>Non-p errors</t>
  </si>
  <si>
    <t>Non-p errors %</t>
  </si>
  <si>
    <t>Rule runs</t>
  </si>
  <si>
    <t>P01</t>
  </si>
  <si>
    <t>C25</t>
  </si>
  <si>
    <t>P02</t>
  </si>
  <si>
    <t>P03</t>
  </si>
  <si>
    <t>P04</t>
  </si>
  <si>
    <t>C18</t>
  </si>
  <si>
    <t>P05</t>
  </si>
  <si>
    <t>P06</t>
  </si>
  <si>
    <t>P07</t>
  </si>
  <si>
    <t>C19</t>
  </si>
  <si>
    <t>P08</t>
  </si>
  <si>
    <t>P09</t>
  </si>
  <si>
    <t>P10</t>
  </si>
  <si>
    <t>P11</t>
  </si>
  <si>
    <t>P12</t>
  </si>
  <si>
    <t>P13</t>
  </si>
  <si>
    <t>P14</t>
  </si>
  <si>
    <t>P15</t>
  </si>
  <si>
    <t>C23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</si>
  <si>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</si>
  <si>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</si>
  <si>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</si>
  <si>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</si>
  <si>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</si>
  <si>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</si>
  <si>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</si>
  <si>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</si>
  <si>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</si>
  <si>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</si>
  <si>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</si>
  <si>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</si>
  <si>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</si>
  <si>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</si>
  <si>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</si>
  <si>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</si>
  <si>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</si>
  <si>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</si>
  <si>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Participant</t>
  </si>
  <si>
    <t>SessionID</t>
  </si>
  <si>
    <t>P01_1</t>
  </si>
  <si>
    <t>P01_2</t>
  </si>
  <si>
    <t>P01_3</t>
  </si>
  <si>
    <t>P01_4</t>
  </si>
  <si>
    <t>P02_1</t>
  </si>
  <si>
    <t>P02_2</t>
  </si>
  <si>
    <t>P02_3</t>
  </si>
  <si>
    <t>P02_4</t>
  </si>
  <si>
    <t>P03_1</t>
  </si>
  <si>
    <t>P03_2</t>
  </si>
  <si>
    <t>P03_3</t>
  </si>
  <si>
    <t>P03_4</t>
  </si>
  <si>
    <t>P04_1</t>
  </si>
  <si>
    <t>P04_2</t>
  </si>
  <si>
    <t>P04_3</t>
  </si>
  <si>
    <t>P04_4</t>
  </si>
  <si>
    <t>P05_1</t>
  </si>
  <si>
    <t>P05_2</t>
  </si>
  <si>
    <t>P05_3</t>
  </si>
  <si>
    <t>P05_4</t>
  </si>
  <si>
    <t>P06_1</t>
  </si>
  <si>
    <t>P06_2</t>
  </si>
  <si>
    <t>P06_3</t>
  </si>
  <si>
    <t>P06_4</t>
  </si>
  <si>
    <t>P07_1</t>
  </si>
  <si>
    <t>P07_2</t>
  </si>
  <si>
    <t>P07_3</t>
  </si>
  <si>
    <t>P07_4</t>
  </si>
  <si>
    <t>P08_1</t>
  </si>
  <si>
    <t>P08_2</t>
  </si>
  <si>
    <t>P08_3</t>
  </si>
  <si>
    <t>P08_4</t>
  </si>
  <si>
    <t>P09_1</t>
  </si>
  <si>
    <t>P09_2</t>
  </si>
  <si>
    <t>P09_3</t>
  </si>
  <si>
    <t>P09_4</t>
  </si>
  <si>
    <t>P10_1</t>
  </si>
  <si>
    <t>P10_2</t>
  </si>
  <si>
    <t>P10_3</t>
  </si>
  <si>
    <t>P10_4</t>
  </si>
  <si>
    <t>P11_1</t>
  </si>
  <si>
    <t>P11_2</t>
  </si>
  <si>
    <t>P11_3</t>
  </si>
  <si>
    <t>P11_4</t>
  </si>
  <si>
    <t>P12_1</t>
  </si>
  <si>
    <t>P12_2</t>
  </si>
  <si>
    <t>P12_3</t>
  </si>
  <si>
    <t>P12_4</t>
  </si>
  <si>
    <t>P13_1</t>
  </si>
  <si>
    <t>P13_2</t>
  </si>
  <si>
    <t>P13_3</t>
  </si>
  <si>
    <t>P13_4</t>
  </si>
  <si>
    <t>P14_1</t>
  </si>
  <si>
    <t>P14_2</t>
  </si>
  <si>
    <t>P14_3</t>
  </si>
  <si>
    <t>P14_4</t>
  </si>
  <si>
    <t>P15_1</t>
  </si>
  <si>
    <t>P15_2</t>
  </si>
  <si>
    <t>P15_3</t>
  </si>
  <si>
    <t>P15_4</t>
  </si>
  <si>
    <t>P16_1</t>
  </si>
  <si>
    <t>P16_2</t>
  </si>
  <si>
    <t>P16_3</t>
  </si>
  <si>
    <t>P16_4</t>
  </si>
  <si>
    <t>P17_1</t>
  </si>
  <si>
    <t>P17_2</t>
  </si>
  <si>
    <t>P17_3</t>
  </si>
  <si>
    <t>P17_4</t>
  </si>
  <si>
    <t>P18_1</t>
  </si>
  <si>
    <t>P18_2</t>
  </si>
  <si>
    <t>P18_3</t>
  </si>
  <si>
    <t>P18_4</t>
  </si>
  <si>
    <t>P19_1</t>
  </si>
  <si>
    <t>P19_2</t>
  </si>
  <si>
    <t>P19_3</t>
  </si>
  <si>
    <t>P19_4</t>
  </si>
  <si>
    <t>P20_1</t>
  </si>
  <si>
    <t>P20_2</t>
  </si>
  <si>
    <t>P20_3</t>
  </si>
  <si>
    <t>P20_4</t>
  </si>
  <si>
    <t>P21_1</t>
  </si>
  <si>
    <t>P21_2</t>
  </si>
  <si>
    <t>P21_3</t>
  </si>
  <si>
    <t>P21_4</t>
  </si>
  <si>
    <t>P22_1</t>
  </si>
  <si>
    <t>P22_2</t>
  </si>
  <si>
    <t>P22_3</t>
  </si>
  <si>
    <t>P22_4</t>
  </si>
  <si>
    <t>P23_1</t>
  </si>
  <si>
    <t>P23_2</t>
  </si>
  <si>
    <t>P23_3</t>
  </si>
  <si>
    <t>P23_4</t>
  </si>
  <si>
    <t>P24_1</t>
  </si>
  <si>
    <t>P24_2</t>
  </si>
  <si>
    <t>P24_3</t>
  </si>
  <si>
    <t>P24_4</t>
  </si>
  <si>
    <t>P25_1</t>
  </si>
  <si>
    <t>P25_2</t>
  </si>
  <si>
    <t>P25_3</t>
  </si>
  <si>
    <t>P25_4</t>
  </si>
  <si>
    <t>P26_1</t>
  </si>
  <si>
    <t>P26_2</t>
  </si>
  <si>
    <t>P26_3</t>
  </si>
  <si>
    <t>P26_4</t>
  </si>
  <si>
    <t>P27_1</t>
  </si>
  <si>
    <t>P27_2</t>
  </si>
  <si>
    <t>P27_3</t>
  </si>
  <si>
    <t>P27_4</t>
  </si>
  <si>
    <t>P28_1</t>
  </si>
  <si>
    <t>P28_2</t>
  </si>
  <si>
    <t>P28_3</t>
  </si>
  <si>
    <t>P28_4</t>
  </si>
  <si>
    <t>P29_1</t>
  </si>
  <si>
    <t>P29_2</t>
  </si>
  <si>
    <t>P29_3</t>
  </si>
  <si>
    <t>P29_4</t>
  </si>
  <si>
    <t>P30_1</t>
  </si>
  <si>
    <t>P30_2</t>
  </si>
  <si>
    <t>P30_3</t>
  </si>
  <si>
    <t>P30_4</t>
  </si>
  <si>
    <t>P31_1</t>
  </si>
  <si>
    <t>P31_2</t>
  </si>
  <si>
    <t>P31_3</t>
  </si>
  <si>
    <t>P31_4</t>
  </si>
  <si>
    <t>P32_1</t>
  </si>
  <si>
    <t>P32_2</t>
  </si>
  <si>
    <t>P32_3</t>
  </si>
  <si>
    <t>P32_4</t>
  </si>
  <si>
    <t>P33_1</t>
  </si>
  <si>
    <t>P33_2</t>
  </si>
  <si>
    <t>P33_3</t>
  </si>
  <si>
    <t>P33_4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</si>
</sst>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9" fontId="0" fillId="3" borderId="0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2" fillId="2" borderId="0" xfId="0" applyFont="1" applyFill="1"/>
    <xf numFmtId="0" fontId="0" fillId="0" borderId="0" xfId="0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zoomScale="90" workbookViewId="0">
      <pane ySplit="1" topLeftCell="A2" activePane="bottomLeft" state="frozen"/>
      <selection pane="bottomLeft" activeCell="D2" sqref="D2:D133"/>
    </sheetView>
  </sheetViews>
  <sheetFormatPr defaultColWidth="11.19921875" defaultRowHeight="15.6" x14ac:dyDescent="0.3"/>
  <cols>
    <col min="1" max="1" width="11.19921875" style="11"/>
    <col min="2" max="2" width="11.19921875" style="12"/>
    <col min="8" max="9" width="11.19921875" style="13"/>
    <col min="10" max="10" width="14" customWidth="1"/>
    <col min="11" max="13" width="14" style="13" customWidth="1"/>
  </cols>
  <sheetData>
    <row r="1" spans="1:14" s="4" customFormat="1" ht="31.2" x14ac:dyDescent="0.3">
      <c r="A1" s="1" t="s">
        <v>49</v>
      </c>
      <c r="B1" s="2" t="s">
        <v>0</v>
      </c>
      <c r="C1" s="3" t="s">
        <v>1</v>
      </c>
      <c r="D1" s="3" t="s">
        <v>50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s="4" customFormat="1" x14ac:dyDescent="0.3">
      <c r="A2" s="1" t="s">
        <v>12</v>
      </c>
      <c r="B2" s="5" t="s">
        <v>13</v>
      </c>
      <c r="C2" s="4">
        <v>1</v>
      </c>
      <c r="D2" s="4" t="s">
        <v>51</v>
      </c>
      <c r="E2" s="4">
        <v>3</v>
      </c>
      <c r="F2" s="4">
        <v>64</v>
      </c>
      <c r="G2" s="4">
        <v>57</v>
      </c>
      <c r="H2" s="6">
        <f>F2-G2</f>
        <v>7</v>
      </c>
      <c r="I2" s="7">
        <f>H2/F2</f>
        <v>0.109375</v>
      </c>
      <c r="J2" s="4">
        <v>4</v>
      </c>
      <c r="K2" s="7">
        <f>J2/F2</f>
        <v>6.25E-2</v>
      </c>
      <c r="L2" s="6">
        <f>64-G2-J2</f>
        <v>3</v>
      </c>
      <c r="M2" s="7">
        <f>L2/F2</f>
        <v>4.6875E-2</v>
      </c>
      <c r="N2" s="4">
        <v>4</v>
      </c>
    </row>
    <row r="3" spans="1:14" s="4" customFormat="1" x14ac:dyDescent="0.3">
      <c r="A3" s="1" t="s">
        <v>12</v>
      </c>
      <c r="B3" s="5" t="s">
        <v>13</v>
      </c>
      <c r="C3" s="4">
        <v>2</v>
      </c>
      <c r="D3" s="4" t="s">
        <v>52</v>
      </c>
      <c r="E3" s="4">
        <v>2</v>
      </c>
      <c r="F3" s="4">
        <v>64</v>
      </c>
      <c r="G3" s="4">
        <v>53</v>
      </c>
      <c r="H3" s="6">
        <f t="shared" ref="H3:H66" si="0">F3-G3</f>
        <v>11</v>
      </c>
      <c r="I3" s="7">
        <f t="shared" ref="I3:I66" si="1">H3/F3</f>
        <v>0.171875</v>
      </c>
      <c r="J3" s="4">
        <v>9</v>
      </c>
      <c r="K3" s="7">
        <f t="shared" ref="K3:K66" si="2">J3/F3</f>
        <v>0.140625</v>
      </c>
      <c r="L3" s="6">
        <f t="shared" ref="L3:L66" si="3">64-G3-J3</f>
        <v>2</v>
      </c>
      <c r="M3" s="7">
        <f t="shared" ref="M3:M66" si="4">L3/F3</f>
        <v>3.125E-2</v>
      </c>
      <c r="N3" s="4">
        <v>3</v>
      </c>
    </row>
    <row r="4" spans="1:14" s="4" customFormat="1" x14ac:dyDescent="0.3">
      <c r="A4" s="1" t="s">
        <v>12</v>
      </c>
      <c r="B4" s="5" t="s">
        <v>13</v>
      </c>
      <c r="C4" s="4">
        <v>3</v>
      </c>
      <c r="D4" s="4" t="s">
        <v>53</v>
      </c>
      <c r="E4" s="4">
        <v>4</v>
      </c>
      <c r="F4" s="4">
        <v>64</v>
      </c>
      <c r="G4" s="4">
        <v>56</v>
      </c>
      <c r="H4" s="6">
        <f t="shared" si="0"/>
        <v>8</v>
      </c>
      <c r="I4" s="7">
        <f t="shared" si="1"/>
        <v>0.125</v>
      </c>
      <c r="J4" s="4">
        <v>6</v>
      </c>
      <c r="K4" s="7">
        <f t="shared" si="2"/>
        <v>9.375E-2</v>
      </c>
      <c r="L4" s="6">
        <f t="shared" si="3"/>
        <v>2</v>
      </c>
      <c r="M4" s="7">
        <f t="shared" si="4"/>
        <v>3.125E-2</v>
      </c>
      <c r="N4" s="4">
        <v>4</v>
      </c>
    </row>
    <row r="5" spans="1:14" s="4" customFormat="1" x14ac:dyDescent="0.3">
      <c r="A5" s="1" t="s">
        <v>12</v>
      </c>
      <c r="B5" s="5" t="s">
        <v>13</v>
      </c>
      <c r="C5" s="4">
        <v>4</v>
      </c>
      <c r="D5" s="4" t="s">
        <v>54</v>
      </c>
      <c r="E5" s="4">
        <v>1</v>
      </c>
      <c r="F5" s="4">
        <v>64</v>
      </c>
      <c r="G5" s="4">
        <v>52</v>
      </c>
      <c r="H5" s="6">
        <f t="shared" si="0"/>
        <v>12</v>
      </c>
      <c r="I5" s="7">
        <f t="shared" si="1"/>
        <v>0.1875</v>
      </c>
      <c r="J5" s="4">
        <v>10</v>
      </c>
      <c r="K5" s="7">
        <f t="shared" si="2"/>
        <v>0.15625</v>
      </c>
      <c r="L5" s="6">
        <f t="shared" si="3"/>
        <v>2</v>
      </c>
      <c r="M5" s="7">
        <f t="shared" si="4"/>
        <v>3.125E-2</v>
      </c>
      <c r="N5" s="4">
        <v>3</v>
      </c>
    </row>
    <row r="6" spans="1:14" s="8" customFormat="1" x14ac:dyDescent="0.3">
      <c r="A6" s="1" t="s">
        <v>14</v>
      </c>
      <c r="B6" s="5" t="s">
        <v>13</v>
      </c>
      <c r="C6" s="4">
        <v>1</v>
      </c>
      <c r="D6" s="4" t="s">
        <v>55</v>
      </c>
      <c r="E6" s="4">
        <v>2</v>
      </c>
      <c r="F6" s="4">
        <v>64</v>
      </c>
      <c r="G6" s="4">
        <v>53</v>
      </c>
      <c r="H6" s="6">
        <f t="shared" si="0"/>
        <v>11</v>
      </c>
      <c r="I6" s="7">
        <f t="shared" si="1"/>
        <v>0.171875</v>
      </c>
      <c r="J6" s="4">
        <v>5</v>
      </c>
      <c r="K6" s="7">
        <f t="shared" si="2"/>
        <v>7.8125E-2</v>
      </c>
      <c r="L6" s="6">
        <f t="shared" si="3"/>
        <v>6</v>
      </c>
      <c r="M6" s="7">
        <f t="shared" si="4"/>
        <v>9.375E-2</v>
      </c>
      <c r="N6" s="4">
        <v>5</v>
      </c>
    </row>
    <row r="7" spans="1:14" s="8" customFormat="1" x14ac:dyDescent="0.3">
      <c r="A7" s="1" t="s">
        <v>14</v>
      </c>
      <c r="B7" s="5" t="s">
        <v>13</v>
      </c>
      <c r="C7" s="4">
        <v>2</v>
      </c>
      <c r="D7" s="4" t="s">
        <v>56</v>
      </c>
      <c r="E7" s="4">
        <v>3</v>
      </c>
      <c r="F7" s="4">
        <v>64</v>
      </c>
      <c r="G7" s="4">
        <v>55</v>
      </c>
      <c r="H7" s="6">
        <f t="shared" si="0"/>
        <v>9</v>
      </c>
      <c r="I7" s="7">
        <f t="shared" si="1"/>
        <v>0.140625</v>
      </c>
      <c r="J7" s="4">
        <v>8</v>
      </c>
      <c r="K7" s="7">
        <f t="shared" si="2"/>
        <v>0.125</v>
      </c>
      <c r="L7" s="6">
        <f t="shared" si="3"/>
        <v>1</v>
      </c>
      <c r="M7" s="7">
        <f t="shared" si="4"/>
        <v>1.5625E-2</v>
      </c>
      <c r="N7" s="4">
        <v>4</v>
      </c>
    </row>
    <row r="8" spans="1:14" s="8" customFormat="1" x14ac:dyDescent="0.3">
      <c r="A8" s="1" t="s">
        <v>14</v>
      </c>
      <c r="B8" s="5" t="s">
        <v>13</v>
      </c>
      <c r="C8" s="4">
        <v>3</v>
      </c>
      <c r="D8" s="4" t="s">
        <v>57</v>
      </c>
      <c r="E8" s="4">
        <v>4</v>
      </c>
      <c r="F8" s="4">
        <v>64</v>
      </c>
      <c r="G8" s="4">
        <v>59</v>
      </c>
      <c r="H8" s="6">
        <f t="shared" si="0"/>
        <v>5</v>
      </c>
      <c r="I8" s="7">
        <f t="shared" si="1"/>
        <v>7.8125E-2</v>
      </c>
      <c r="J8" s="4">
        <v>5</v>
      </c>
      <c r="K8" s="7">
        <f t="shared" si="2"/>
        <v>7.8125E-2</v>
      </c>
      <c r="L8" s="6">
        <f t="shared" si="3"/>
        <v>0</v>
      </c>
      <c r="M8" s="7">
        <f t="shared" si="4"/>
        <v>0</v>
      </c>
      <c r="N8" s="4">
        <v>5</v>
      </c>
    </row>
    <row r="9" spans="1:14" s="8" customFormat="1" x14ac:dyDescent="0.3">
      <c r="A9" s="1" t="s">
        <v>14</v>
      </c>
      <c r="B9" s="5" t="s">
        <v>13</v>
      </c>
      <c r="C9" s="4">
        <v>4</v>
      </c>
      <c r="D9" s="4" t="s">
        <v>58</v>
      </c>
      <c r="E9" s="4">
        <v>1</v>
      </c>
      <c r="F9" s="4">
        <v>64</v>
      </c>
      <c r="G9" s="4">
        <v>54</v>
      </c>
      <c r="H9" s="6">
        <f t="shared" si="0"/>
        <v>10</v>
      </c>
      <c r="I9" s="7">
        <f t="shared" si="1"/>
        <v>0.15625</v>
      </c>
      <c r="J9" s="4">
        <v>6</v>
      </c>
      <c r="K9" s="7">
        <f t="shared" si="2"/>
        <v>9.375E-2</v>
      </c>
      <c r="L9" s="6">
        <f t="shared" si="3"/>
        <v>4</v>
      </c>
      <c r="M9" s="7">
        <f t="shared" si="4"/>
        <v>6.25E-2</v>
      </c>
      <c r="N9" s="4">
        <v>4</v>
      </c>
    </row>
    <row r="10" spans="1:14" s="8" customFormat="1" x14ac:dyDescent="0.3">
      <c r="A10" s="1" t="s">
        <v>15</v>
      </c>
      <c r="B10" s="5" t="s">
        <v>13</v>
      </c>
      <c r="C10" s="4">
        <v>1</v>
      </c>
      <c r="D10" s="4" t="s">
        <v>59</v>
      </c>
      <c r="E10" s="4">
        <v>2</v>
      </c>
      <c r="F10" s="4">
        <v>64</v>
      </c>
      <c r="G10" s="4">
        <v>50</v>
      </c>
      <c r="H10" s="6">
        <f t="shared" si="0"/>
        <v>14</v>
      </c>
      <c r="I10" s="7">
        <f t="shared" si="1"/>
        <v>0.21875</v>
      </c>
      <c r="J10" s="4">
        <v>11</v>
      </c>
      <c r="K10" s="7">
        <f t="shared" si="2"/>
        <v>0.171875</v>
      </c>
      <c r="L10" s="6">
        <f t="shared" si="3"/>
        <v>3</v>
      </c>
      <c r="M10" s="7">
        <f t="shared" si="4"/>
        <v>4.6875E-2</v>
      </c>
      <c r="N10" s="4">
        <v>4</v>
      </c>
    </row>
    <row r="11" spans="1:14" s="8" customFormat="1" x14ac:dyDescent="0.3">
      <c r="A11" s="1" t="s">
        <v>15</v>
      </c>
      <c r="B11" s="5" t="s">
        <v>13</v>
      </c>
      <c r="C11" s="4">
        <v>2</v>
      </c>
      <c r="D11" s="4" t="s">
        <v>60</v>
      </c>
      <c r="E11" s="4">
        <v>4</v>
      </c>
      <c r="F11" s="4">
        <v>64</v>
      </c>
      <c r="G11" s="4">
        <v>55</v>
      </c>
      <c r="H11" s="6">
        <f t="shared" si="0"/>
        <v>9</v>
      </c>
      <c r="I11" s="7">
        <f t="shared" si="1"/>
        <v>0.140625</v>
      </c>
      <c r="J11" s="4">
        <v>4</v>
      </c>
      <c r="K11" s="7">
        <f t="shared" si="2"/>
        <v>6.25E-2</v>
      </c>
      <c r="L11" s="6">
        <f t="shared" si="3"/>
        <v>5</v>
      </c>
      <c r="M11" s="7">
        <f t="shared" si="4"/>
        <v>7.8125E-2</v>
      </c>
      <c r="N11" s="4">
        <v>4</v>
      </c>
    </row>
    <row r="12" spans="1:14" s="8" customFormat="1" x14ac:dyDescent="0.3">
      <c r="A12" s="1" t="s">
        <v>15</v>
      </c>
      <c r="B12" s="5" t="s">
        <v>13</v>
      </c>
      <c r="C12" s="4">
        <v>3</v>
      </c>
      <c r="D12" s="4" t="s">
        <v>61</v>
      </c>
      <c r="E12" s="4">
        <v>3</v>
      </c>
      <c r="F12" s="4">
        <v>64</v>
      </c>
      <c r="G12" s="4">
        <v>57</v>
      </c>
      <c r="H12" s="6">
        <f t="shared" si="0"/>
        <v>7</v>
      </c>
      <c r="I12" s="7">
        <f t="shared" si="1"/>
        <v>0.109375</v>
      </c>
      <c r="J12" s="4">
        <v>6</v>
      </c>
      <c r="K12" s="7">
        <f t="shared" si="2"/>
        <v>9.375E-2</v>
      </c>
      <c r="L12" s="6">
        <f t="shared" si="3"/>
        <v>1</v>
      </c>
      <c r="M12" s="7">
        <f t="shared" si="4"/>
        <v>1.5625E-2</v>
      </c>
      <c r="N12" s="4">
        <v>5</v>
      </c>
    </row>
    <row r="13" spans="1:14" s="8" customFormat="1" x14ac:dyDescent="0.3">
      <c r="A13" s="1" t="s">
        <v>15</v>
      </c>
      <c r="B13" s="5" t="s">
        <v>13</v>
      </c>
      <c r="C13" s="4">
        <v>4</v>
      </c>
      <c r="D13" s="4" t="s">
        <v>62</v>
      </c>
      <c r="E13" s="4">
        <v>1</v>
      </c>
      <c r="F13" s="4">
        <v>64</v>
      </c>
      <c r="G13" s="4">
        <v>57</v>
      </c>
      <c r="H13" s="6">
        <f t="shared" si="0"/>
        <v>7</v>
      </c>
      <c r="I13" s="7">
        <f t="shared" si="1"/>
        <v>0.109375</v>
      </c>
      <c r="J13" s="4">
        <v>4</v>
      </c>
      <c r="K13" s="7">
        <f t="shared" si="2"/>
        <v>6.25E-2</v>
      </c>
      <c r="L13" s="6">
        <f t="shared" si="3"/>
        <v>3</v>
      </c>
      <c r="M13" s="7">
        <f t="shared" si="4"/>
        <v>4.6875E-2</v>
      </c>
      <c r="N13" s="4">
        <v>5</v>
      </c>
    </row>
    <row r="14" spans="1:14" s="8" customFormat="1" x14ac:dyDescent="0.3">
      <c r="A14" s="1" t="s">
        <v>16</v>
      </c>
      <c r="B14" s="5" t="s">
        <v>17</v>
      </c>
      <c r="C14" s="4">
        <v>1</v>
      </c>
      <c r="D14" s="4" t="s">
        <v>63</v>
      </c>
      <c r="E14" s="4">
        <v>2</v>
      </c>
      <c r="F14" s="4">
        <v>64</v>
      </c>
      <c r="G14" s="4">
        <v>54</v>
      </c>
      <c r="H14" s="6">
        <f t="shared" si="0"/>
        <v>10</v>
      </c>
      <c r="I14" s="7">
        <f t="shared" si="1"/>
        <v>0.15625</v>
      </c>
      <c r="J14" s="4">
        <v>6</v>
      </c>
      <c r="K14" s="7">
        <f t="shared" si="2"/>
        <v>9.375E-2</v>
      </c>
      <c r="L14" s="6">
        <f t="shared" si="3"/>
        <v>4</v>
      </c>
      <c r="M14" s="7">
        <f t="shared" si="4"/>
        <v>6.25E-2</v>
      </c>
      <c r="N14" s="4">
        <v>4</v>
      </c>
    </row>
    <row r="15" spans="1:14" s="8" customFormat="1" x14ac:dyDescent="0.3">
      <c r="A15" s="1" t="s">
        <v>16</v>
      </c>
      <c r="B15" s="5" t="s">
        <v>17</v>
      </c>
      <c r="C15" s="4">
        <v>2</v>
      </c>
      <c r="D15" s="4" t="s">
        <v>64</v>
      </c>
      <c r="E15" s="4">
        <v>4</v>
      </c>
      <c r="F15" s="4">
        <v>64</v>
      </c>
      <c r="G15" s="4">
        <v>54</v>
      </c>
      <c r="H15" s="6">
        <f t="shared" si="0"/>
        <v>10</v>
      </c>
      <c r="I15" s="7">
        <f t="shared" si="1"/>
        <v>0.15625</v>
      </c>
      <c r="J15" s="4">
        <v>7</v>
      </c>
      <c r="K15" s="7">
        <f t="shared" si="2"/>
        <v>0.109375</v>
      </c>
      <c r="L15" s="6">
        <f t="shared" si="3"/>
        <v>3</v>
      </c>
      <c r="M15" s="7">
        <f t="shared" si="4"/>
        <v>4.6875E-2</v>
      </c>
      <c r="N15" s="4">
        <v>5</v>
      </c>
    </row>
    <row r="16" spans="1:14" s="8" customFormat="1" x14ac:dyDescent="0.3">
      <c r="A16" s="1" t="s">
        <v>16</v>
      </c>
      <c r="B16" s="5" t="s">
        <v>17</v>
      </c>
      <c r="C16" s="4">
        <v>3</v>
      </c>
      <c r="D16" s="4" t="s">
        <v>65</v>
      </c>
      <c r="E16" s="4">
        <v>1</v>
      </c>
      <c r="F16" s="4">
        <v>64</v>
      </c>
      <c r="G16" s="4">
        <v>53</v>
      </c>
      <c r="H16" s="6">
        <f t="shared" si="0"/>
        <v>11</v>
      </c>
      <c r="I16" s="7">
        <f t="shared" si="1"/>
        <v>0.171875</v>
      </c>
      <c r="J16" s="4">
        <v>9</v>
      </c>
      <c r="K16" s="7">
        <f t="shared" si="2"/>
        <v>0.140625</v>
      </c>
      <c r="L16" s="6">
        <f t="shared" si="3"/>
        <v>2</v>
      </c>
      <c r="M16" s="7">
        <f t="shared" si="4"/>
        <v>3.125E-2</v>
      </c>
      <c r="N16" s="4">
        <v>4</v>
      </c>
    </row>
    <row r="17" spans="1:14" s="8" customFormat="1" x14ac:dyDescent="0.3">
      <c r="A17" s="1" t="s">
        <v>16</v>
      </c>
      <c r="B17" s="5" t="s">
        <v>17</v>
      </c>
      <c r="C17" s="4">
        <v>4</v>
      </c>
      <c r="D17" s="4" t="s">
        <v>66</v>
      </c>
      <c r="E17" s="4">
        <v>3</v>
      </c>
      <c r="F17" s="4">
        <v>64</v>
      </c>
      <c r="G17" s="4">
        <v>53</v>
      </c>
      <c r="H17" s="6">
        <f t="shared" si="0"/>
        <v>11</v>
      </c>
      <c r="I17" s="7">
        <f t="shared" si="1"/>
        <v>0.171875</v>
      </c>
      <c r="J17" s="4">
        <v>6</v>
      </c>
      <c r="K17" s="7">
        <f t="shared" si="2"/>
        <v>9.375E-2</v>
      </c>
      <c r="L17" s="6">
        <f t="shared" si="3"/>
        <v>5</v>
      </c>
      <c r="M17" s="7">
        <f t="shared" si="4"/>
        <v>7.8125E-2</v>
      </c>
      <c r="N17" s="4">
        <v>5</v>
      </c>
    </row>
    <row r="18" spans="1:14" s="8" customFormat="1" x14ac:dyDescent="0.3">
      <c r="A18" s="1" t="s">
        <v>18</v>
      </c>
      <c r="B18" s="5" t="s">
        <v>13</v>
      </c>
      <c r="C18" s="4">
        <v>1</v>
      </c>
      <c r="D18" s="4" t="s">
        <v>67</v>
      </c>
      <c r="E18" s="4">
        <v>3</v>
      </c>
      <c r="F18" s="4">
        <v>64</v>
      </c>
      <c r="G18" s="4">
        <v>54</v>
      </c>
      <c r="H18" s="6">
        <f t="shared" si="0"/>
        <v>10</v>
      </c>
      <c r="I18" s="7">
        <f t="shared" si="1"/>
        <v>0.15625</v>
      </c>
      <c r="J18" s="4">
        <v>5</v>
      </c>
      <c r="K18" s="7">
        <f t="shared" si="2"/>
        <v>7.8125E-2</v>
      </c>
      <c r="L18" s="6">
        <f t="shared" si="3"/>
        <v>5</v>
      </c>
      <c r="M18" s="7">
        <f t="shared" si="4"/>
        <v>7.8125E-2</v>
      </c>
      <c r="N18" s="4">
        <v>4</v>
      </c>
    </row>
    <row r="19" spans="1:14" s="8" customFormat="1" x14ac:dyDescent="0.3">
      <c r="A19" s="1" t="s">
        <v>18</v>
      </c>
      <c r="B19" s="5" t="s">
        <v>13</v>
      </c>
      <c r="C19" s="4">
        <v>2</v>
      </c>
      <c r="D19" s="4" t="s">
        <v>68</v>
      </c>
      <c r="E19" s="4">
        <v>1</v>
      </c>
      <c r="F19" s="4">
        <v>64</v>
      </c>
      <c r="G19" s="4">
        <v>58</v>
      </c>
      <c r="H19" s="6">
        <f t="shared" si="0"/>
        <v>6</v>
      </c>
      <c r="I19" s="7">
        <f t="shared" si="1"/>
        <v>9.375E-2</v>
      </c>
      <c r="J19" s="4">
        <v>5</v>
      </c>
      <c r="K19" s="7">
        <f t="shared" si="2"/>
        <v>7.8125E-2</v>
      </c>
      <c r="L19" s="6">
        <f t="shared" si="3"/>
        <v>1</v>
      </c>
      <c r="M19" s="7">
        <f t="shared" si="4"/>
        <v>1.5625E-2</v>
      </c>
      <c r="N19" s="4">
        <v>5</v>
      </c>
    </row>
    <row r="20" spans="1:14" s="8" customFormat="1" x14ac:dyDescent="0.3">
      <c r="A20" s="1" t="s">
        <v>18</v>
      </c>
      <c r="B20" s="5" t="s">
        <v>13</v>
      </c>
      <c r="C20" s="4">
        <v>3</v>
      </c>
      <c r="D20" s="4" t="s">
        <v>69</v>
      </c>
      <c r="E20" s="4">
        <v>4</v>
      </c>
      <c r="F20" s="4">
        <v>64</v>
      </c>
      <c r="G20" s="4">
        <v>57</v>
      </c>
      <c r="H20" s="6">
        <f t="shared" si="0"/>
        <v>7</v>
      </c>
      <c r="I20" s="7">
        <f t="shared" si="1"/>
        <v>0.109375</v>
      </c>
      <c r="J20" s="4">
        <v>5</v>
      </c>
      <c r="K20" s="7">
        <f t="shared" si="2"/>
        <v>7.8125E-2</v>
      </c>
      <c r="L20" s="6">
        <f t="shared" si="3"/>
        <v>2</v>
      </c>
      <c r="M20" s="7">
        <f t="shared" si="4"/>
        <v>3.125E-2</v>
      </c>
      <c r="N20" s="4">
        <v>5</v>
      </c>
    </row>
    <row r="21" spans="1:14" s="8" customFormat="1" x14ac:dyDescent="0.3">
      <c r="A21" s="1" t="s">
        <v>18</v>
      </c>
      <c r="B21" s="5" t="s">
        <v>13</v>
      </c>
      <c r="C21" s="4">
        <v>4</v>
      </c>
      <c r="D21" s="4" t="s">
        <v>70</v>
      </c>
      <c r="E21" s="4">
        <v>2</v>
      </c>
      <c r="F21" s="4">
        <v>64</v>
      </c>
      <c r="G21" s="4">
        <v>57</v>
      </c>
      <c r="H21" s="6">
        <f t="shared" si="0"/>
        <v>7</v>
      </c>
      <c r="I21" s="7">
        <f t="shared" si="1"/>
        <v>0.109375</v>
      </c>
      <c r="J21" s="4">
        <v>7</v>
      </c>
      <c r="K21" s="7">
        <f t="shared" si="2"/>
        <v>0.109375</v>
      </c>
      <c r="L21" s="6">
        <f t="shared" si="3"/>
        <v>0</v>
      </c>
      <c r="M21" s="7">
        <f t="shared" si="4"/>
        <v>0</v>
      </c>
      <c r="N21" s="4">
        <v>5</v>
      </c>
    </row>
    <row r="22" spans="1:14" s="8" customFormat="1" x14ac:dyDescent="0.3">
      <c r="A22" s="1" t="s">
        <v>19</v>
      </c>
      <c r="B22" s="5" t="s">
        <v>17</v>
      </c>
      <c r="C22" s="4">
        <v>1</v>
      </c>
      <c r="D22" s="4" t="s">
        <v>71</v>
      </c>
      <c r="E22" s="4">
        <v>1</v>
      </c>
      <c r="F22" s="4">
        <v>64</v>
      </c>
      <c r="G22" s="4">
        <v>54</v>
      </c>
      <c r="H22" s="6">
        <f t="shared" si="0"/>
        <v>10</v>
      </c>
      <c r="I22" s="7">
        <f t="shared" si="1"/>
        <v>0.15625</v>
      </c>
      <c r="J22" s="4">
        <v>6</v>
      </c>
      <c r="K22" s="7">
        <f t="shared" si="2"/>
        <v>9.375E-2</v>
      </c>
      <c r="L22" s="6">
        <f t="shared" si="3"/>
        <v>4</v>
      </c>
      <c r="M22" s="7">
        <f t="shared" si="4"/>
        <v>6.25E-2</v>
      </c>
      <c r="N22" s="4">
        <v>4</v>
      </c>
    </row>
    <row r="23" spans="1:14" s="8" customFormat="1" x14ac:dyDescent="0.3">
      <c r="A23" s="1" t="s">
        <v>19</v>
      </c>
      <c r="B23" s="5" t="s">
        <v>17</v>
      </c>
      <c r="C23" s="4">
        <v>2</v>
      </c>
      <c r="D23" s="4" t="s">
        <v>72</v>
      </c>
      <c r="E23" s="4">
        <v>4</v>
      </c>
      <c r="F23" s="4">
        <v>64</v>
      </c>
      <c r="G23" s="4">
        <v>49</v>
      </c>
      <c r="H23" s="6">
        <f t="shared" si="0"/>
        <v>15</v>
      </c>
      <c r="I23" s="7">
        <f t="shared" si="1"/>
        <v>0.234375</v>
      </c>
      <c r="J23" s="4">
        <v>13</v>
      </c>
      <c r="K23" s="7">
        <f t="shared" si="2"/>
        <v>0.203125</v>
      </c>
      <c r="L23" s="6">
        <f t="shared" si="3"/>
        <v>2</v>
      </c>
      <c r="M23" s="7">
        <f t="shared" si="4"/>
        <v>3.125E-2</v>
      </c>
      <c r="N23" s="4">
        <v>4</v>
      </c>
    </row>
    <row r="24" spans="1:14" s="8" customFormat="1" x14ac:dyDescent="0.3">
      <c r="A24" s="1" t="s">
        <v>19</v>
      </c>
      <c r="B24" s="5" t="s">
        <v>17</v>
      </c>
      <c r="C24" s="4">
        <v>3</v>
      </c>
      <c r="D24" s="4" t="s">
        <v>73</v>
      </c>
      <c r="E24" s="4">
        <v>2</v>
      </c>
      <c r="F24" s="4">
        <v>64</v>
      </c>
      <c r="G24" s="4">
        <v>55</v>
      </c>
      <c r="H24" s="6">
        <f t="shared" si="0"/>
        <v>9</v>
      </c>
      <c r="I24" s="7">
        <f t="shared" si="1"/>
        <v>0.140625</v>
      </c>
      <c r="J24" s="4">
        <v>6</v>
      </c>
      <c r="K24" s="7">
        <f t="shared" si="2"/>
        <v>9.375E-2</v>
      </c>
      <c r="L24" s="6">
        <f t="shared" si="3"/>
        <v>3</v>
      </c>
      <c r="M24" s="7">
        <f t="shared" si="4"/>
        <v>4.6875E-2</v>
      </c>
      <c r="N24" s="4">
        <v>3</v>
      </c>
    </row>
    <row r="25" spans="1:14" s="8" customFormat="1" x14ac:dyDescent="0.3">
      <c r="A25" s="1" t="s">
        <v>19</v>
      </c>
      <c r="B25" s="5" t="s">
        <v>17</v>
      </c>
      <c r="C25" s="4">
        <v>4</v>
      </c>
      <c r="D25" s="4" t="s">
        <v>74</v>
      </c>
      <c r="E25" s="4">
        <v>3</v>
      </c>
      <c r="F25" s="4">
        <v>64</v>
      </c>
      <c r="G25" s="4">
        <v>59</v>
      </c>
      <c r="H25" s="6">
        <f t="shared" si="0"/>
        <v>5</v>
      </c>
      <c r="I25" s="7">
        <f t="shared" si="1"/>
        <v>7.8125E-2</v>
      </c>
      <c r="J25" s="4">
        <v>4</v>
      </c>
      <c r="K25" s="7">
        <f t="shared" si="2"/>
        <v>6.25E-2</v>
      </c>
      <c r="L25" s="6">
        <f t="shared" si="3"/>
        <v>1</v>
      </c>
      <c r="M25" s="7">
        <f t="shared" si="4"/>
        <v>1.5625E-2</v>
      </c>
      <c r="N25" s="4">
        <v>5</v>
      </c>
    </row>
    <row r="26" spans="1:14" s="8" customFormat="1" x14ac:dyDescent="0.3">
      <c r="A26" s="1" t="s">
        <v>20</v>
      </c>
      <c r="B26" s="5" t="s">
        <v>21</v>
      </c>
      <c r="C26" s="4">
        <v>1</v>
      </c>
      <c r="D26" s="4" t="s">
        <v>75</v>
      </c>
      <c r="E26" s="4">
        <v>1</v>
      </c>
      <c r="F26" s="4">
        <v>64</v>
      </c>
      <c r="G26" s="4">
        <v>53</v>
      </c>
      <c r="H26" s="6">
        <f t="shared" si="0"/>
        <v>11</v>
      </c>
      <c r="I26" s="7">
        <f t="shared" si="1"/>
        <v>0.171875</v>
      </c>
      <c r="J26" s="4">
        <v>6</v>
      </c>
      <c r="K26" s="7">
        <f t="shared" si="2"/>
        <v>9.375E-2</v>
      </c>
      <c r="L26" s="6">
        <f t="shared" si="3"/>
        <v>5</v>
      </c>
      <c r="M26" s="7">
        <f t="shared" si="4"/>
        <v>7.8125E-2</v>
      </c>
      <c r="N26" s="4">
        <v>5</v>
      </c>
    </row>
    <row r="27" spans="1:14" s="8" customFormat="1" x14ac:dyDescent="0.3">
      <c r="A27" s="1" t="s">
        <v>20</v>
      </c>
      <c r="B27" s="5" t="s">
        <v>21</v>
      </c>
      <c r="C27" s="4">
        <v>2</v>
      </c>
      <c r="D27" s="4" t="s">
        <v>76</v>
      </c>
      <c r="E27" s="4">
        <v>2</v>
      </c>
      <c r="F27" s="4">
        <v>64</v>
      </c>
      <c r="G27" s="4">
        <v>53</v>
      </c>
      <c r="H27" s="6">
        <f t="shared" si="0"/>
        <v>11</v>
      </c>
      <c r="I27" s="7">
        <f t="shared" si="1"/>
        <v>0.171875</v>
      </c>
      <c r="J27" s="4">
        <v>6</v>
      </c>
      <c r="K27" s="7">
        <f t="shared" si="2"/>
        <v>9.375E-2</v>
      </c>
      <c r="L27" s="6">
        <f t="shared" si="3"/>
        <v>5</v>
      </c>
      <c r="M27" s="7">
        <f t="shared" si="4"/>
        <v>7.8125E-2</v>
      </c>
      <c r="N27" s="4">
        <v>4</v>
      </c>
    </row>
    <row r="28" spans="1:14" s="8" customFormat="1" x14ac:dyDescent="0.3">
      <c r="A28" s="1" t="s">
        <v>20</v>
      </c>
      <c r="B28" s="5" t="s">
        <v>21</v>
      </c>
      <c r="C28" s="4">
        <v>3</v>
      </c>
      <c r="D28" s="4" t="s">
        <v>77</v>
      </c>
      <c r="E28" s="4">
        <v>4</v>
      </c>
      <c r="F28" s="4">
        <v>64</v>
      </c>
      <c r="G28" s="4">
        <v>55</v>
      </c>
      <c r="H28" s="6">
        <f t="shared" si="0"/>
        <v>9</v>
      </c>
      <c r="I28" s="7">
        <f t="shared" si="1"/>
        <v>0.140625</v>
      </c>
      <c r="J28" s="4">
        <v>3</v>
      </c>
      <c r="K28" s="7">
        <f t="shared" si="2"/>
        <v>4.6875E-2</v>
      </c>
      <c r="L28" s="6">
        <f t="shared" si="3"/>
        <v>6</v>
      </c>
      <c r="M28" s="7">
        <f t="shared" si="4"/>
        <v>9.375E-2</v>
      </c>
      <c r="N28" s="4">
        <v>4</v>
      </c>
    </row>
    <row r="29" spans="1:14" s="8" customFormat="1" x14ac:dyDescent="0.3">
      <c r="A29" s="1" t="s">
        <v>20</v>
      </c>
      <c r="B29" s="5" t="s">
        <v>21</v>
      </c>
      <c r="C29" s="4">
        <v>4</v>
      </c>
      <c r="D29" s="4" t="s">
        <v>78</v>
      </c>
      <c r="E29" s="4">
        <v>3</v>
      </c>
      <c r="F29" s="4">
        <v>64</v>
      </c>
      <c r="G29" s="4">
        <v>57</v>
      </c>
      <c r="H29" s="6">
        <f t="shared" si="0"/>
        <v>7</v>
      </c>
      <c r="I29" s="7">
        <f t="shared" si="1"/>
        <v>0.109375</v>
      </c>
      <c r="J29" s="4">
        <v>3</v>
      </c>
      <c r="K29" s="7">
        <f t="shared" si="2"/>
        <v>4.6875E-2</v>
      </c>
      <c r="L29" s="6">
        <f t="shared" si="3"/>
        <v>4</v>
      </c>
      <c r="M29" s="7">
        <f t="shared" si="4"/>
        <v>6.25E-2</v>
      </c>
      <c r="N29" s="4">
        <v>4</v>
      </c>
    </row>
    <row r="30" spans="1:14" s="8" customFormat="1" x14ac:dyDescent="0.3">
      <c r="A30" s="1" t="s">
        <v>22</v>
      </c>
      <c r="B30" s="5" t="s">
        <v>13</v>
      </c>
      <c r="C30" s="4">
        <v>1</v>
      </c>
      <c r="D30" s="4" t="s">
        <v>79</v>
      </c>
      <c r="E30" s="4">
        <v>2</v>
      </c>
      <c r="F30" s="4">
        <v>64</v>
      </c>
      <c r="G30" s="4">
        <v>53</v>
      </c>
      <c r="H30" s="6">
        <f t="shared" si="0"/>
        <v>11</v>
      </c>
      <c r="I30" s="7">
        <f t="shared" si="1"/>
        <v>0.171875</v>
      </c>
      <c r="J30" s="4">
        <v>8</v>
      </c>
      <c r="K30" s="7">
        <f t="shared" si="2"/>
        <v>0.125</v>
      </c>
      <c r="L30" s="6">
        <f t="shared" si="3"/>
        <v>3</v>
      </c>
      <c r="M30" s="7">
        <f t="shared" si="4"/>
        <v>4.6875E-2</v>
      </c>
      <c r="N30" s="4">
        <v>5</v>
      </c>
    </row>
    <row r="31" spans="1:14" s="8" customFormat="1" x14ac:dyDescent="0.3">
      <c r="A31" s="1" t="s">
        <v>22</v>
      </c>
      <c r="B31" s="5" t="s">
        <v>13</v>
      </c>
      <c r="C31" s="4">
        <v>2</v>
      </c>
      <c r="D31" s="4" t="s">
        <v>80</v>
      </c>
      <c r="E31" s="4">
        <v>1</v>
      </c>
      <c r="F31" s="4">
        <v>64</v>
      </c>
      <c r="G31" s="4">
        <v>60</v>
      </c>
      <c r="H31" s="6">
        <f t="shared" si="0"/>
        <v>4</v>
      </c>
      <c r="I31" s="7">
        <f t="shared" si="1"/>
        <v>6.25E-2</v>
      </c>
      <c r="J31" s="4">
        <v>4</v>
      </c>
      <c r="K31" s="7">
        <f t="shared" si="2"/>
        <v>6.25E-2</v>
      </c>
      <c r="L31" s="6">
        <f t="shared" si="3"/>
        <v>0</v>
      </c>
      <c r="M31" s="7">
        <f t="shared" si="4"/>
        <v>0</v>
      </c>
      <c r="N31" s="4">
        <v>5</v>
      </c>
    </row>
    <row r="32" spans="1:14" s="8" customFormat="1" x14ac:dyDescent="0.3">
      <c r="A32" s="1" t="s">
        <v>22</v>
      </c>
      <c r="B32" s="5" t="s">
        <v>13</v>
      </c>
      <c r="C32" s="4">
        <v>3</v>
      </c>
      <c r="D32" s="4" t="s">
        <v>81</v>
      </c>
      <c r="E32" s="4">
        <v>4</v>
      </c>
      <c r="F32" s="4">
        <v>64</v>
      </c>
      <c r="G32" s="4">
        <v>54</v>
      </c>
      <c r="H32" s="6">
        <f t="shared" si="0"/>
        <v>10</v>
      </c>
      <c r="I32" s="7">
        <f t="shared" si="1"/>
        <v>0.15625</v>
      </c>
      <c r="J32" s="4">
        <v>6</v>
      </c>
      <c r="K32" s="7">
        <f t="shared" si="2"/>
        <v>9.375E-2</v>
      </c>
      <c r="L32" s="6">
        <f t="shared" si="3"/>
        <v>4</v>
      </c>
      <c r="M32" s="7">
        <f t="shared" si="4"/>
        <v>6.25E-2</v>
      </c>
      <c r="N32" s="4">
        <v>5</v>
      </c>
    </row>
    <row r="33" spans="1:14" s="8" customFormat="1" x14ac:dyDescent="0.3">
      <c r="A33" s="1" t="s">
        <v>22</v>
      </c>
      <c r="B33" s="5" t="s">
        <v>13</v>
      </c>
      <c r="C33" s="4">
        <v>4</v>
      </c>
      <c r="D33" s="4" t="s">
        <v>82</v>
      </c>
      <c r="E33" s="4">
        <v>3</v>
      </c>
      <c r="F33" s="4">
        <v>64</v>
      </c>
      <c r="G33" s="4">
        <v>58</v>
      </c>
      <c r="H33" s="6">
        <f t="shared" si="0"/>
        <v>6</v>
      </c>
      <c r="I33" s="7">
        <f t="shared" si="1"/>
        <v>9.375E-2</v>
      </c>
      <c r="J33" s="4">
        <v>4</v>
      </c>
      <c r="K33" s="7">
        <f t="shared" si="2"/>
        <v>6.25E-2</v>
      </c>
      <c r="L33" s="6">
        <f t="shared" si="3"/>
        <v>2</v>
      </c>
      <c r="M33" s="7">
        <f t="shared" si="4"/>
        <v>3.125E-2</v>
      </c>
      <c r="N33" s="4">
        <v>5</v>
      </c>
    </row>
    <row r="34" spans="1:14" s="8" customFormat="1" x14ac:dyDescent="0.3">
      <c r="A34" s="1" t="s">
        <v>23</v>
      </c>
      <c r="B34" s="5" t="s">
        <v>21</v>
      </c>
      <c r="C34" s="4">
        <v>1</v>
      </c>
      <c r="D34" s="4" t="s">
        <v>83</v>
      </c>
      <c r="E34" s="4">
        <v>3</v>
      </c>
      <c r="F34" s="4">
        <v>64</v>
      </c>
      <c r="G34" s="4">
        <v>53</v>
      </c>
      <c r="H34" s="6">
        <f t="shared" si="0"/>
        <v>11</v>
      </c>
      <c r="I34" s="7">
        <f t="shared" si="1"/>
        <v>0.171875</v>
      </c>
      <c r="J34" s="4">
        <v>6</v>
      </c>
      <c r="K34" s="7">
        <f t="shared" si="2"/>
        <v>9.375E-2</v>
      </c>
      <c r="L34" s="6">
        <f t="shared" si="3"/>
        <v>5</v>
      </c>
      <c r="M34" s="7">
        <f t="shared" si="4"/>
        <v>7.8125E-2</v>
      </c>
      <c r="N34" s="4">
        <v>5</v>
      </c>
    </row>
    <row r="35" spans="1:14" s="8" customFormat="1" x14ac:dyDescent="0.3">
      <c r="A35" s="1" t="s">
        <v>23</v>
      </c>
      <c r="B35" s="5" t="s">
        <v>21</v>
      </c>
      <c r="C35" s="4">
        <v>2</v>
      </c>
      <c r="D35" s="4" t="s">
        <v>84</v>
      </c>
      <c r="E35" s="4">
        <v>2</v>
      </c>
      <c r="F35" s="4">
        <v>64</v>
      </c>
      <c r="G35" s="4">
        <v>55</v>
      </c>
      <c r="H35" s="6">
        <f t="shared" si="0"/>
        <v>9</v>
      </c>
      <c r="I35" s="7">
        <f t="shared" si="1"/>
        <v>0.140625</v>
      </c>
      <c r="J35" s="4">
        <v>6</v>
      </c>
      <c r="K35" s="7">
        <f t="shared" si="2"/>
        <v>9.375E-2</v>
      </c>
      <c r="L35" s="6">
        <f t="shared" si="3"/>
        <v>3</v>
      </c>
      <c r="M35" s="7">
        <f t="shared" si="4"/>
        <v>4.6875E-2</v>
      </c>
      <c r="N35" s="4">
        <v>5</v>
      </c>
    </row>
    <row r="36" spans="1:14" s="8" customFormat="1" x14ac:dyDescent="0.3">
      <c r="A36" s="1" t="s">
        <v>23</v>
      </c>
      <c r="B36" s="5" t="s">
        <v>21</v>
      </c>
      <c r="C36" s="4">
        <v>3</v>
      </c>
      <c r="D36" s="4" t="s">
        <v>85</v>
      </c>
      <c r="E36" s="4">
        <v>4</v>
      </c>
      <c r="F36" s="4">
        <v>64</v>
      </c>
      <c r="G36" s="4">
        <v>59</v>
      </c>
      <c r="H36" s="6">
        <f t="shared" si="0"/>
        <v>5</v>
      </c>
      <c r="I36" s="7">
        <f t="shared" si="1"/>
        <v>7.8125E-2</v>
      </c>
      <c r="J36" s="4">
        <v>4</v>
      </c>
      <c r="K36" s="7">
        <f t="shared" si="2"/>
        <v>6.25E-2</v>
      </c>
      <c r="L36" s="6">
        <f t="shared" si="3"/>
        <v>1</v>
      </c>
      <c r="M36" s="7">
        <f t="shared" si="4"/>
        <v>1.5625E-2</v>
      </c>
      <c r="N36" s="4">
        <v>5</v>
      </c>
    </row>
    <row r="37" spans="1:14" s="8" customFormat="1" x14ac:dyDescent="0.3">
      <c r="A37" s="1" t="s">
        <v>23</v>
      </c>
      <c r="B37" s="5" t="s">
        <v>21</v>
      </c>
      <c r="C37" s="4">
        <v>4</v>
      </c>
      <c r="D37" s="4" t="s">
        <v>86</v>
      </c>
      <c r="E37" s="4">
        <v>1</v>
      </c>
      <c r="F37" s="4">
        <v>64</v>
      </c>
      <c r="G37" s="4">
        <v>55</v>
      </c>
      <c r="H37" s="6">
        <f t="shared" si="0"/>
        <v>9</v>
      </c>
      <c r="I37" s="7">
        <f t="shared" si="1"/>
        <v>0.140625</v>
      </c>
      <c r="J37" s="4">
        <v>5</v>
      </c>
      <c r="K37" s="7">
        <f t="shared" si="2"/>
        <v>7.8125E-2</v>
      </c>
      <c r="L37" s="6">
        <f t="shared" si="3"/>
        <v>4</v>
      </c>
      <c r="M37" s="7">
        <f t="shared" si="4"/>
        <v>6.25E-2</v>
      </c>
      <c r="N37" s="4">
        <v>5</v>
      </c>
    </row>
    <row r="38" spans="1:14" s="8" customFormat="1" x14ac:dyDescent="0.3">
      <c r="A38" s="1" t="s">
        <v>24</v>
      </c>
      <c r="B38" s="5" t="s">
        <v>13</v>
      </c>
      <c r="C38" s="4">
        <v>1</v>
      </c>
      <c r="D38" s="4" t="s">
        <v>87</v>
      </c>
      <c r="E38" s="4">
        <v>2</v>
      </c>
      <c r="F38" s="4">
        <v>64</v>
      </c>
      <c r="G38" s="4">
        <v>43</v>
      </c>
      <c r="H38" s="6">
        <f t="shared" si="0"/>
        <v>21</v>
      </c>
      <c r="I38" s="7">
        <f t="shared" si="1"/>
        <v>0.328125</v>
      </c>
      <c r="J38" s="4">
        <v>10</v>
      </c>
      <c r="K38" s="7">
        <f t="shared" si="2"/>
        <v>0.15625</v>
      </c>
      <c r="L38" s="6">
        <f t="shared" si="3"/>
        <v>11</v>
      </c>
      <c r="M38" s="7">
        <f t="shared" si="4"/>
        <v>0.171875</v>
      </c>
      <c r="N38" s="4">
        <v>2</v>
      </c>
    </row>
    <row r="39" spans="1:14" s="8" customFormat="1" x14ac:dyDescent="0.3">
      <c r="A39" s="1" t="s">
        <v>24</v>
      </c>
      <c r="B39" s="5" t="s">
        <v>13</v>
      </c>
      <c r="C39" s="4">
        <v>2</v>
      </c>
      <c r="D39" s="4" t="s">
        <v>88</v>
      </c>
      <c r="E39" s="4">
        <v>3</v>
      </c>
      <c r="F39" s="4">
        <v>64</v>
      </c>
      <c r="G39" s="4">
        <v>52</v>
      </c>
      <c r="H39" s="6">
        <f t="shared" si="0"/>
        <v>12</v>
      </c>
      <c r="I39" s="7">
        <f t="shared" si="1"/>
        <v>0.1875</v>
      </c>
      <c r="J39" s="4">
        <v>5</v>
      </c>
      <c r="K39" s="7">
        <f t="shared" si="2"/>
        <v>7.8125E-2</v>
      </c>
      <c r="L39" s="6">
        <f t="shared" si="3"/>
        <v>7</v>
      </c>
      <c r="M39" s="7">
        <f t="shared" si="4"/>
        <v>0.109375</v>
      </c>
      <c r="N39" s="4">
        <v>4</v>
      </c>
    </row>
    <row r="40" spans="1:14" s="8" customFormat="1" x14ac:dyDescent="0.3">
      <c r="A40" s="1" t="s">
        <v>24</v>
      </c>
      <c r="B40" s="5" t="s">
        <v>13</v>
      </c>
      <c r="C40" s="4">
        <v>3</v>
      </c>
      <c r="D40" s="4" t="s">
        <v>89</v>
      </c>
      <c r="E40" s="4">
        <v>4</v>
      </c>
      <c r="F40" s="4">
        <v>64</v>
      </c>
      <c r="G40" s="4">
        <v>43</v>
      </c>
      <c r="H40" s="6">
        <f t="shared" si="0"/>
        <v>21</v>
      </c>
      <c r="I40" s="7">
        <f t="shared" si="1"/>
        <v>0.328125</v>
      </c>
      <c r="J40" s="4">
        <v>11</v>
      </c>
      <c r="K40" s="7">
        <f t="shared" si="2"/>
        <v>0.171875</v>
      </c>
      <c r="L40" s="6">
        <f t="shared" si="3"/>
        <v>10</v>
      </c>
      <c r="M40" s="7">
        <f t="shared" si="4"/>
        <v>0.15625</v>
      </c>
      <c r="N40" s="4">
        <v>2</v>
      </c>
    </row>
    <row r="41" spans="1:14" s="8" customFormat="1" x14ac:dyDescent="0.3">
      <c r="A41" s="1" t="s">
        <v>24</v>
      </c>
      <c r="B41" s="5" t="s">
        <v>13</v>
      </c>
      <c r="C41" s="4">
        <v>4</v>
      </c>
      <c r="D41" s="4" t="s">
        <v>90</v>
      </c>
      <c r="E41" s="4">
        <v>1</v>
      </c>
      <c r="F41" s="4">
        <v>64</v>
      </c>
      <c r="G41" s="4">
        <v>52</v>
      </c>
      <c r="H41" s="6">
        <f t="shared" si="0"/>
        <v>12</v>
      </c>
      <c r="I41" s="7">
        <f t="shared" si="1"/>
        <v>0.1875</v>
      </c>
      <c r="J41" s="4">
        <v>8</v>
      </c>
      <c r="K41" s="7">
        <f t="shared" si="2"/>
        <v>0.125</v>
      </c>
      <c r="L41" s="6">
        <f t="shared" si="3"/>
        <v>4</v>
      </c>
      <c r="M41" s="7">
        <f t="shared" si="4"/>
        <v>6.25E-2</v>
      </c>
      <c r="N41" s="4">
        <v>4</v>
      </c>
    </row>
    <row r="42" spans="1:14" s="8" customFormat="1" x14ac:dyDescent="0.3">
      <c r="A42" s="1" t="s">
        <v>25</v>
      </c>
      <c r="B42" s="5" t="s">
        <v>13</v>
      </c>
      <c r="C42" s="4">
        <v>1</v>
      </c>
      <c r="D42" s="4" t="s">
        <v>91</v>
      </c>
      <c r="E42" s="4">
        <v>2</v>
      </c>
      <c r="F42" s="4">
        <v>64</v>
      </c>
      <c r="G42" s="4">
        <v>58</v>
      </c>
      <c r="H42" s="6">
        <f t="shared" si="0"/>
        <v>6</v>
      </c>
      <c r="I42" s="7">
        <f t="shared" si="1"/>
        <v>9.375E-2</v>
      </c>
      <c r="J42" s="4">
        <v>5</v>
      </c>
      <c r="K42" s="7">
        <f t="shared" si="2"/>
        <v>7.8125E-2</v>
      </c>
      <c r="L42" s="6">
        <f t="shared" si="3"/>
        <v>1</v>
      </c>
      <c r="M42" s="7">
        <f t="shared" si="4"/>
        <v>1.5625E-2</v>
      </c>
      <c r="N42" s="4">
        <v>5</v>
      </c>
    </row>
    <row r="43" spans="1:14" s="8" customFormat="1" x14ac:dyDescent="0.3">
      <c r="A43" s="1" t="s">
        <v>25</v>
      </c>
      <c r="B43" s="5" t="s">
        <v>13</v>
      </c>
      <c r="C43" s="4">
        <v>2</v>
      </c>
      <c r="D43" s="4" t="s">
        <v>92</v>
      </c>
      <c r="E43" s="4">
        <v>4</v>
      </c>
      <c r="F43" s="4">
        <v>64</v>
      </c>
      <c r="G43" s="4">
        <v>53</v>
      </c>
      <c r="H43" s="6">
        <f t="shared" si="0"/>
        <v>11</v>
      </c>
      <c r="I43" s="7">
        <f t="shared" si="1"/>
        <v>0.171875</v>
      </c>
      <c r="J43" s="4">
        <v>8</v>
      </c>
      <c r="K43" s="7">
        <f t="shared" si="2"/>
        <v>0.125</v>
      </c>
      <c r="L43" s="6">
        <f t="shared" si="3"/>
        <v>3</v>
      </c>
      <c r="M43" s="7">
        <f t="shared" si="4"/>
        <v>4.6875E-2</v>
      </c>
      <c r="N43" s="4">
        <v>4</v>
      </c>
    </row>
    <row r="44" spans="1:14" s="8" customFormat="1" x14ac:dyDescent="0.3">
      <c r="A44" s="1" t="s">
        <v>25</v>
      </c>
      <c r="B44" s="5" t="s">
        <v>13</v>
      </c>
      <c r="C44" s="4">
        <v>3</v>
      </c>
      <c r="D44" s="4" t="s">
        <v>93</v>
      </c>
      <c r="E44" s="4">
        <v>3</v>
      </c>
      <c r="F44" s="4">
        <v>64</v>
      </c>
      <c r="G44" s="4">
        <v>58</v>
      </c>
      <c r="H44" s="6">
        <f t="shared" si="0"/>
        <v>6</v>
      </c>
      <c r="I44" s="7">
        <f t="shared" si="1"/>
        <v>9.375E-2</v>
      </c>
      <c r="J44" s="4">
        <v>5</v>
      </c>
      <c r="K44" s="7">
        <f t="shared" si="2"/>
        <v>7.8125E-2</v>
      </c>
      <c r="L44" s="6">
        <f t="shared" si="3"/>
        <v>1</v>
      </c>
      <c r="M44" s="7">
        <f t="shared" si="4"/>
        <v>1.5625E-2</v>
      </c>
      <c r="N44" s="4">
        <v>4</v>
      </c>
    </row>
    <row r="45" spans="1:14" s="8" customFormat="1" x14ac:dyDescent="0.3">
      <c r="A45" s="1" t="s">
        <v>25</v>
      </c>
      <c r="B45" s="5" t="s">
        <v>13</v>
      </c>
      <c r="C45" s="4">
        <v>4</v>
      </c>
      <c r="D45" s="4" t="s">
        <v>94</v>
      </c>
      <c r="E45" s="4">
        <v>1</v>
      </c>
      <c r="F45" s="4">
        <v>64</v>
      </c>
      <c r="G45" s="4">
        <v>55</v>
      </c>
      <c r="H45" s="6">
        <f t="shared" si="0"/>
        <v>9</v>
      </c>
      <c r="I45" s="7">
        <f t="shared" si="1"/>
        <v>0.140625</v>
      </c>
      <c r="J45" s="4">
        <v>6</v>
      </c>
      <c r="K45" s="7">
        <f t="shared" si="2"/>
        <v>9.375E-2</v>
      </c>
      <c r="L45" s="6">
        <f t="shared" si="3"/>
        <v>3</v>
      </c>
      <c r="M45" s="7">
        <f t="shared" si="4"/>
        <v>4.6875E-2</v>
      </c>
      <c r="N45" s="4">
        <v>5</v>
      </c>
    </row>
    <row r="46" spans="1:14" s="8" customFormat="1" x14ac:dyDescent="0.3">
      <c r="A46" s="1" t="s">
        <v>26</v>
      </c>
      <c r="B46" s="5" t="s">
        <v>21</v>
      </c>
      <c r="C46" s="4">
        <v>1</v>
      </c>
      <c r="D46" s="4" t="s">
        <v>95</v>
      </c>
      <c r="E46" s="4">
        <v>2</v>
      </c>
      <c r="F46" s="4">
        <v>64</v>
      </c>
      <c r="G46" s="4">
        <v>53</v>
      </c>
      <c r="H46" s="6">
        <f t="shared" si="0"/>
        <v>11</v>
      </c>
      <c r="I46" s="7">
        <f t="shared" si="1"/>
        <v>0.171875</v>
      </c>
      <c r="J46" s="4">
        <v>6</v>
      </c>
      <c r="K46" s="7">
        <f t="shared" si="2"/>
        <v>9.375E-2</v>
      </c>
      <c r="L46" s="6">
        <f t="shared" si="3"/>
        <v>5</v>
      </c>
      <c r="M46" s="7">
        <f t="shared" si="4"/>
        <v>7.8125E-2</v>
      </c>
      <c r="N46" s="4">
        <v>4</v>
      </c>
    </row>
    <row r="47" spans="1:14" s="8" customFormat="1" x14ac:dyDescent="0.3">
      <c r="A47" s="1" t="s">
        <v>26</v>
      </c>
      <c r="B47" s="5" t="s">
        <v>21</v>
      </c>
      <c r="C47" s="4">
        <v>2</v>
      </c>
      <c r="D47" s="4" t="s">
        <v>96</v>
      </c>
      <c r="E47" s="4">
        <v>4</v>
      </c>
      <c r="F47" s="4">
        <v>64</v>
      </c>
      <c r="G47" s="4">
        <v>57</v>
      </c>
      <c r="H47" s="6">
        <f t="shared" si="0"/>
        <v>7</v>
      </c>
      <c r="I47" s="7">
        <f t="shared" si="1"/>
        <v>0.109375</v>
      </c>
      <c r="J47" s="4">
        <v>6</v>
      </c>
      <c r="K47" s="7">
        <f t="shared" si="2"/>
        <v>9.375E-2</v>
      </c>
      <c r="L47" s="6">
        <f t="shared" si="3"/>
        <v>1</v>
      </c>
      <c r="M47" s="7">
        <f t="shared" si="4"/>
        <v>1.5625E-2</v>
      </c>
      <c r="N47" s="4">
        <v>5</v>
      </c>
    </row>
    <row r="48" spans="1:14" s="8" customFormat="1" x14ac:dyDescent="0.3">
      <c r="A48" s="1" t="s">
        <v>26</v>
      </c>
      <c r="B48" s="5" t="s">
        <v>21</v>
      </c>
      <c r="C48" s="4">
        <v>3</v>
      </c>
      <c r="D48" s="4" t="s">
        <v>97</v>
      </c>
      <c r="E48" s="4">
        <v>1</v>
      </c>
      <c r="F48" s="4">
        <v>64</v>
      </c>
      <c r="G48" s="4">
        <v>57</v>
      </c>
      <c r="H48" s="6">
        <f t="shared" si="0"/>
        <v>7</v>
      </c>
      <c r="I48" s="7">
        <f t="shared" si="1"/>
        <v>0.109375</v>
      </c>
      <c r="J48" s="4">
        <v>5</v>
      </c>
      <c r="K48" s="7">
        <f t="shared" si="2"/>
        <v>7.8125E-2</v>
      </c>
      <c r="L48" s="6">
        <f t="shared" si="3"/>
        <v>2</v>
      </c>
      <c r="M48" s="7">
        <f t="shared" si="4"/>
        <v>3.125E-2</v>
      </c>
      <c r="N48" s="4">
        <v>5</v>
      </c>
    </row>
    <row r="49" spans="1:14" s="8" customFormat="1" x14ac:dyDescent="0.3">
      <c r="A49" s="1" t="s">
        <v>26</v>
      </c>
      <c r="B49" s="5" t="s">
        <v>21</v>
      </c>
      <c r="C49" s="4">
        <v>4</v>
      </c>
      <c r="D49" s="4" t="s">
        <v>98</v>
      </c>
      <c r="E49" s="4">
        <v>3</v>
      </c>
      <c r="F49" s="4">
        <v>64</v>
      </c>
      <c r="G49" s="4">
        <v>59</v>
      </c>
      <c r="H49" s="6">
        <f t="shared" si="0"/>
        <v>5</v>
      </c>
      <c r="I49" s="7">
        <f t="shared" si="1"/>
        <v>7.8125E-2</v>
      </c>
      <c r="J49" s="4">
        <v>5</v>
      </c>
      <c r="K49" s="7">
        <f t="shared" si="2"/>
        <v>7.8125E-2</v>
      </c>
      <c r="L49" s="6">
        <f t="shared" si="3"/>
        <v>0</v>
      </c>
      <c r="M49" s="7">
        <f t="shared" si="4"/>
        <v>0</v>
      </c>
      <c r="N49" s="4">
        <v>5</v>
      </c>
    </row>
    <row r="50" spans="1:14" s="8" customFormat="1" x14ac:dyDescent="0.3">
      <c r="A50" s="1" t="s">
        <v>27</v>
      </c>
      <c r="B50" s="5" t="s">
        <v>13</v>
      </c>
      <c r="C50" s="4">
        <v>1</v>
      </c>
      <c r="D50" s="4" t="s">
        <v>99</v>
      </c>
      <c r="E50" s="4">
        <v>3</v>
      </c>
      <c r="F50" s="4">
        <v>64</v>
      </c>
      <c r="G50" s="4">
        <v>49</v>
      </c>
      <c r="H50" s="6">
        <f t="shared" si="0"/>
        <v>15</v>
      </c>
      <c r="I50" s="7">
        <f t="shared" si="1"/>
        <v>0.234375</v>
      </c>
      <c r="J50" s="4">
        <v>6</v>
      </c>
      <c r="K50" s="7">
        <f t="shared" si="2"/>
        <v>9.375E-2</v>
      </c>
      <c r="L50" s="6">
        <f t="shared" si="3"/>
        <v>9</v>
      </c>
      <c r="M50" s="7">
        <f t="shared" si="4"/>
        <v>0.140625</v>
      </c>
      <c r="N50" s="4">
        <v>2</v>
      </c>
    </row>
    <row r="51" spans="1:14" s="8" customFormat="1" x14ac:dyDescent="0.3">
      <c r="A51" s="1" t="s">
        <v>27</v>
      </c>
      <c r="B51" s="5" t="s">
        <v>13</v>
      </c>
      <c r="C51" s="4">
        <v>2</v>
      </c>
      <c r="D51" s="4" t="s">
        <v>100</v>
      </c>
      <c r="E51" s="4">
        <v>1</v>
      </c>
      <c r="F51" s="4">
        <v>64</v>
      </c>
      <c r="G51" s="4">
        <v>52</v>
      </c>
      <c r="H51" s="6">
        <f t="shared" si="0"/>
        <v>12</v>
      </c>
      <c r="I51" s="7">
        <f t="shared" si="1"/>
        <v>0.1875</v>
      </c>
      <c r="J51" s="4">
        <v>9</v>
      </c>
      <c r="K51" s="7">
        <f t="shared" si="2"/>
        <v>0.140625</v>
      </c>
      <c r="L51" s="6">
        <f t="shared" si="3"/>
        <v>3</v>
      </c>
      <c r="M51" s="7">
        <f t="shared" si="4"/>
        <v>4.6875E-2</v>
      </c>
      <c r="N51" s="4">
        <v>4</v>
      </c>
    </row>
    <row r="52" spans="1:14" s="8" customFormat="1" x14ac:dyDescent="0.3">
      <c r="A52" s="1" t="s">
        <v>27</v>
      </c>
      <c r="B52" s="5" t="s">
        <v>13</v>
      </c>
      <c r="C52" s="4">
        <v>3</v>
      </c>
      <c r="D52" s="4" t="s">
        <v>101</v>
      </c>
      <c r="E52" s="4">
        <v>4</v>
      </c>
      <c r="F52" s="4">
        <v>64</v>
      </c>
      <c r="G52" s="4">
        <v>54</v>
      </c>
      <c r="H52" s="6">
        <f t="shared" si="0"/>
        <v>10</v>
      </c>
      <c r="I52" s="7">
        <f t="shared" si="1"/>
        <v>0.15625</v>
      </c>
      <c r="J52" s="4">
        <v>7</v>
      </c>
      <c r="K52" s="7">
        <f t="shared" si="2"/>
        <v>0.109375</v>
      </c>
      <c r="L52" s="6">
        <f t="shared" si="3"/>
        <v>3</v>
      </c>
      <c r="M52" s="7">
        <f t="shared" si="4"/>
        <v>4.6875E-2</v>
      </c>
      <c r="N52" s="4">
        <v>5</v>
      </c>
    </row>
    <row r="53" spans="1:14" s="8" customFormat="1" x14ac:dyDescent="0.3">
      <c r="A53" s="1" t="s">
        <v>27</v>
      </c>
      <c r="B53" s="5" t="s">
        <v>13</v>
      </c>
      <c r="C53" s="4">
        <v>4</v>
      </c>
      <c r="D53" s="4" t="s">
        <v>102</v>
      </c>
      <c r="E53" s="4">
        <v>2</v>
      </c>
      <c r="F53" s="4">
        <v>64</v>
      </c>
      <c r="G53" s="4">
        <v>55</v>
      </c>
      <c r="H53" s="6">
        <f t="shared" si="0"/>
        <v>9</v>
      </c>
      <c r="I53" s="7">
        <f t="shared" si="1"/>
        <v>0.140625</v>
      </c>
      <c r="J53" s="4">
        <v>4</v>
      </c>
      <c r="K53" s="7">
        <f t="shared" si="2"/>
        <v>6.25E-2</v>
      </c>
      <c r="L53" s="6">
        <f t="shared" si="3"/>
        <v>5</v>
      </c>
      <c r="M53" s="7">
        <f t="shared" si="4"/>
        <v>7.8125E-2</v>
      </c>
      <c r="N53" s="4">
        <v>4</v>
      </c>
    </row>
    <row r="54" spans="1:14" s="8" customFormat="1" x14ac:dyDescent="0.3">
      <c r="A54" s="1" t="s">
        <v>28</v>
      </c>
      <c r="B54" s="5" t="s">
        <v>13</v>
      </c>
      <c r="C54" s="4">
        <v>1</v>
      </c>
      <c r="D54" s="4" t="s">
        <v>103</v>
      </c>
      <c r="E54" s="4">
        <v>1</v>
      </c>
      <c r="F54" s="4">
        <v>64</v>
      </c>
      <c r="G54" s="4">
        <v>56</v>
      </c>
      <c r="H54" s="6">
        <f t="shared" si="0"/>
        <v>8</v>
      </c>
      <c r="I54" s="7">
        <f t="shared" si="1"/>
        <v>0.125</v>
      </c>
      <c r="J54" s="4">
        <v>5</v>
      </c>
      <c r="K54" s="7">
        <f t="shared" si="2"/>
        <v>7.8125E-2</v>
      </c>
      <c r="L54" s="6">
        <f t="shared" si="3"/>
        <v>3</v>
      </c>
      <c r="M54" s="7">
        <f t="shared" si="4"/>
        <v>4.6875E-2</v>
      </c>
      <c r="N54" s="4">
        <v>5</v>
      </c>
    </row>
    <row r="55" spans="1:14" s="8" customFormat="1" x14ac:dyDescent="0.3">
      <c r="A55" s="1" t="s">
        <v>28</v>
      </c>
      <c r="B55" s="5" t="s">
        <v>13</v>
      </c>
      <c r="C55" s="4">
        <v>2</v>
      </c>
      <c r="D55" s="4" t="s">
        <v>104</v>
      </c>
      <c r="E55" s="4">
        <v>4</v>
      </c>
      <c r="F55" s="4">
        <v>64</v>
      </c>
      <c r="G55" s="4">
        <v>50</v>
      </c>
      <c r="H55" s="6">
        <f t="shared" si="0"/>
        <v>14</v>
      </c>
      <c r="I55" s="7">
        <f t="shared" si="1"/>
        <v>0.21875</v>
      </c>
      <c r="J55" s="4">
        <v>8</v>
      </c>
      <c r="K55" s="7">
        <f t="shared" si="2"/>
        <v>0.125</v>
      </c>
      <c r="L55" s="6">
        <f t="shared" si="3"/>
        <v>6</v>
      </c>
      <c r="M55" s="7">
        <f t="shared" si="4"/>
        <v>9.375E-2</v>
      </c>
      <c r="N55" s="4">
        <v>4</v>
      </c>
    </row>
    <row r="56" spans="1:14" s="8" customFormat="1" x14ac:dyDescent="0.3">
      <c r="A56" s="1" t="s">
        <v>28</v>
      </c>
      <c r="B56" s="5" t="s">
        <v>13</v>
      </c>
      <c r="C56" s="4">
        <v>3</v>
      </c>
      <c r="D56" s="4" t="s">
        <v>105</v>
      </c>
      <c r="E56" s="4">
        <v>2</v>
      </c>
      <c r="F56" s="4">
        <v>64</v>
      </c>
      <c r="G56" s="4">
        <v>58</v>
      </c>
      <c r="H56" s="6">
        <f t="shared" si="0"/>
        <v>6</v>
      </c>
      <c r="I56" s="7">
        <f t="shared" si="1"/>
        <v>9.375E-2</v>
      </c>
      <c r="J56" s="4">
        <v>6</v>
      </c>
      <c r="K56" s="7">
        <f t="shared" si="2"/>
        <v>9.375E-2</v>
      </c>
      <c r="L56" s="6">
        <f t="shared" si="3"/>
        <v>0</v>
      </c>
      <c r="M56" s="7">
        <f t="shared" si="4"/>
        <v>0</v>
      </c>
      <c r="N56" s="4">
        <v>5</v>
      </c>
    </row>
    <row r="57" spans="1:14" s="8" customFormat="1" x14ac:dyDescent="0.3">
      <c r="A57" s="1" t="s">
        <v>28</v>
      </c>
      <c r="B57" s="5" t="s">
        <v>13</v>
      </c>
      <c r="C57" s="4">
        <v>4</v>
      </c>
      <c r="D57" s="4" t="s">
        <v>106</v>
      </c>
      <c r="E57" s="4">
        <v>3</v>
      </c>
      <c r="F57" s="4">
        <v>64</v>
      </c>
      <c r="G57" s="4">
        <v>52</v>
      </c>
      <c r="H57" s="6">
        <f t="shared" si="0"/>
        <v>12</v>
      </c>
      <c r="I57" s="7">
        <f t="shared" si="1"/>
        <v>0.1875</v>
      </c>
      <c r="J57" s="4">
        <v>12</v>
      </c>
      <c r="K57" s="7">
        <f t="shared" si="2"/>
        <v>0.1875</v>
      </c>
      <c r="L57" s="6">
        <f t="shared" si="3"/>
        <v>0</v>
      </c>
      <c r="M57" s="7">
        <f t="shared" si="4"/>
        <v>0</v>
      </c>
      <c r="N57" s="4">
        <v>5</v>
      </c>
    </row>
    <row r="58" spans="1:14" s="8" customFormat="1" x14ac:dyDescent="0.3">
      <c r="A58" s="1" t="s">
        <v>29</v>
      </c>
      <c r="B58" s="5" t="s">
        <v>30</v>
      </c>
      <c r="C58" s="4">
        <v>1</v>
      </c>
      <c r="D58" s="4" t="s">
        <v>107</v>
      </c>
      <c r="E58" s="4">
        <v>1</v>
      </c>
      <c r="F58" s="4">
        <v>64</v>
      </c>
      <c r="G58" s="4">
        <v>46</v>
      </c>
      <c r="H58" s="6">
        <f t="shared" si="0"/>
        <v>18</v>
      </c>
      <c r="I58" s="7">
        <f t="shared" si="1"/>
        <v>0.28125</v>
      </c>
      <c r="J58" s="4">
        <v>9</v>
      </c>
      <c r="K58" s="7">
        <f t="shared" si="2"/>
        <v>0.140625</v>
      </c>
      <c r="L58" s="6">
        <f t="shared" si="3"/>
        <v>9</v>
      </c>
      <c r="M58" s="7">
        <f t="shared" si="4"/>
        <v>0.140625</v>
      </c>
      <c r="N58" s="4">
        <v>2</v>
      </c>
    </row>
    <row r="59" spans="1:14" s="8" customFormat="1" x14ac:dyDescent="0.3">
      <c r="A59" s="1" t="s">
        <v>29</v>
      </c>
      <c r="B59" s="5" t="s">
        <v>30</v>
      </c>
      <c r="C59" s="4">
        <v>2</v>
      </c>
      <c r="D59" s="4" t="s">
        <v>108</v>
      </c>
      <c r="E59" s="4">
        <v>2</v>
      </c>
      <c r="F59" s="4">
        <v>64</v>
      </c>
      <c r="G59" s="4">
        <v>54</v>
      </c>
      <c r="H59" s="6">
        <f t="shared" si="0"/>
        <v>10</v>
      </c>
      <c r="I59" s="7">
        <f t="shared" si="1"/>
        <v>0.15625</v>
      </c>
      <c r="J59" s="4">
        <v>7</v>
      </c>
      <c r="K59" s="7">
        <f t="shared" si="2"/>
        <v>0.109375</v>
      </c>
      <c r="L59" s="6">
        <f t="shared" si="3"/>
        <v>3</v>
      </c>
      <c r="M59" s="7">
        <f t="shared" si="4"/>
        <v>4.6875E-2</v>
      </c>
      <c r="N59" s="4">
        <v>4</v>
      </c>
    </row>
    <row r="60" spans="1:14" s="8" customFormat="1" x14ac:dyDescent="0.3">
      <c r="A60" s="1" t="s">
        <v>29</v>
      </c>
      <c r="B60" s="5" t="s">
        <v>30</v>
      </c>
      <c r="C60" s="4">
        <v>3</v>
      </c>
      <c r="D60" s="4" t="s">
        <v>109</v>
      </c>
      <c r="E60" s="4">
        <v>4</v>
      </c>
      <c r="F60" s="4">
        <v>64</v>
      </c>
      <c r="G60" s="4">
        <v>54</v>
      </c>
      <c r="H60" s="6">
        <f t="shared" si="0"/>
        <v>10</v>
      </c>
      <c r="I60" s="7">
        <f t="shared" si="1"/>
        <v>0.15625</v>
      </c>
      <c r="J60" s="4">
        <v>7</v>
      </c>
      <c r="K60" s="7">
        <f t="shared" si="2"/>
        <v>0.109375</v>
      </c>
      <c r="L60" s="6">
        <f t="shared" si="3"/>
        <v>3</v>
      </c>
      <c r="M60" s="7">
        <f t="shared" si="4"/>
        <v>4.6875E-2</v>
      </c>
      <c r="N60" s="4">
        <v>4</v>
      </c>
    </row>
    <row r="61" spans="1:14" s="8" customFormat="1" x14ac:dyDescent="0.3">
      <c r="A61" s="1" t="s">
        <v>29</v>
      </c>
      <c r="B61" s="5" t="s">
        <v>30</v>
      </c>
      <c r="C61" s="4">
        <v>4</v>
      </c>
      <c r="D61" s="4" t="s">
        <v>110</v>
      </c>
      <c r="E61" s="4">
        <v>3</v>
      </c>
      <c r="F61" s="4">
        <v>64</v>
      </c>
      <c r="G61" s="4">
        <v>56</v>
      </c>
      <c r="H61" s="6">
        <f t="shared" si="0"/>
        <v>8</v>
      </c>
      <c r="I61" s="7">
        <f t="shared" si="1"/>
        <v>0.125</v>
      </c>
      <c r="J61" s="4">
        <v>4</v>
      </c>
      <c r="K61" s="7">
        <f t="shared" si="2"/>
        <v>6.25E-2</v>
      </c>
      <c r="L61" s="6">
        <f t="shared" si="3"/>
        <v>4</v>
      </c>
      <c r="M61" s="7">
        <f t="shared" si="4"/>
        <v>6.25E-2</v>
      </c>
      <c r="N61" s="4">
        <v>5</v>
      </c>
    </row>
    <row r="62" spans="1:14" s="8" customFormat="1" x14ac:dyDescent="0.3">
      <c r="A62" s="1" t="s">
        <v>31</v>
      </c>
      <c r="B62" s="5" t="s">
        <v>17</v>
      </c>
      <c r="C62" s="4">
        <v>1</v>
      </c>
      <c r="D62" s="4" t="s">
        <v>111</v>
      </c>
      <c r="E62" s="4">
        <v>2</v>
      </c>
      <c r="F62" s="4">
        <v>64</v>
      </c>
      <c r="G62" s="4">
        <v>55</v>
      </c>
      <c r="H62" s="6">
        <f t="shared" si="0"/>
        <v>9</v>
      </c>
      <c r="I62" s="7">
        <f t="shared" si="1"/>
        <v>0.140625</v>
      </c>
      <c r="J62" s="4">
        <v>6</v>
      </c>
      <c r="K62" s="7">
        <f t="shared" si="2"/>
        <v>9.375E-2</v>
      </c>
      <c r="L62" s="6">
        <f t="shared" si="3"/>
        <v>3</v>
      </c>
      <c r="M62" s="7">
        <f t="shared" si="4"/>
        <v>4.6875E-2</v>
      </c>
      <c r="N62" s="4">
        <v>4</v>
      </c>
    </row>
    <row r="63" spans="1:14" s="8" customFormat="1" x14ac:dyDescent="0.3">
      <c r="A63" s="1" t="s">
        <v>31</v>
      </c>
      <c r="B63" s="5" t="s">
        <v>17</v>
      </c>
      <c r="C63" s="4">
        <v>2</v>
      </c>
      <c r="D63" s="4" t="s">
        <v>112</v>
      </c>
      <c r="E63" s="4">
        <v>1</v>
      </c>
      <c r="F63" s="4">
        <v>64</v>
      </c>
      <c r="G63" s="4">
        <v>55</v>
      </c>
      <c r="H63" s="6">
        <f t="shared" si="0"/>
        <v>9</v>
      </c>
      <c r="I63" s="7">
        <f t="shared" si="1"/>
        <v>0.140625</v>
      </c>
      <c r="J63" s="4">
        <v>7</v>
      </c>
      <c r="K63" s="7">
        <f t="shared" si="2"/>
        <v>0.109375</v>
      </c>
      <c r="L63" s="6">
        <f t="shared" si="3"/>
        <v>2</v>
      </c>
      <c r="M63" s="7">
        <f t="shared" si="4"/>
        <v>3.125E-2</v>
      </c>
      <c r="N63" s="4">
        <v>4</v>
      </c>
    </row>
    <row r="64" spans="1:14" s="8" customFormat="1" x14ac:dyDescent="0.3">
      <c r="A64" s="1" t="s">
        <v>31</v>
      </c>
      <c r="B64" s="5" t="s">
        <v>17</v>
      </c>
      <c r="C64" s="4">
        <v>3</v>
      </c>
      <c r="D64" s="4" t="s">
        <v>113</v>
      </c>
      <c r="E64" s="4">
        <v>4</v>
      </c>
      <c r="F64" s="4">
        <v>64</v>
      </c>
      <c r="G64" s="4">
        <v>58</v>
      </c>
      <c r="H64" s="6">
        <f t="shared" si="0"/>
        <v>6</v>
      </c>
      <c r="I64" s="7">
        <f t="shared" si="1"/>
        <v>9.375E-2</v>
      </c>
      <c r="J64" s="4">
        <v>5</v>
      </c>
      <c r="K64" s="7">
        <f t="shared" si="2"/>
        <v>7.8125E-2</v>
      </c>
      <c r="L64" s="6">
        <f t="shared" si="3"/>
        <v>1</v>
      </c>
      <c r="M64" s="7">
        <f t="shared" si="4"/>
        <v>1.5625E-2</v>
      </c>
      <c r="N64" s="4">
        <v>5</v>
      </c>
    </row>
    <row r="65" spans="1:14" s="8" customFormat="1" x14ac:dyDescent="0.3">
      <c r="A65" s="1" t="s">
        <v>31</v>
      </c>
      <c r="B65" s="5" t="s">
        <v>17</v>
      </c>
      <c r="C65" s="4">
        <v>4</v>
      </c>
      <c r="D65" s="4" t="s">
        <v>114</v>
      </c>
      <c r="E65" s="4">
        <v>3</v>
      </c>
      <c r="F65" s="4">
        <v>64</v>
      </c>
      <c r="G65" s="4">
        <v>54</v>
      </c>
      <c r="H65" s="6">
        <f t="shared" si="0"/>
        <v>10</v>
      </c>
      <c r="I65" s="7">
        <f t="shared" si="1"/>
        <v>0.15625</v>
      </c>
      <c r="J65" s="4">
        <v>9</v>
      </c>
      <c r="K65" s="7">
        <f t="shared" si="2"/>
        <v>0.140625</v>
      </c>
      <c r="L65" s="6">
        <f t="shared" si="3"/>
        <v>1</v>
      </c>
      <c r="M65" s="7">
        <f t="shared" si="4"/>
        <v>1.5625E-2</v>
      </c>
      <c r="N65" s="4">
        <v>5</v>
      </c>
    </row>
    <row r="66" spans="1:14" s="8" customFormat="1" x14ac:dyDescent="0.3">
      <c r="A66" s="1" t="s">
        <v>32</v>
      </c>
      <c r="B66" s="5" t="s">
        <v>13</v>
      </c>
      <c r="C66" s="4">
        <v>1</v>
      </c>
      <c r="D66" s="4" t="s">
        <v>115</v>
      </c>
      <c r="E66" s="4">
        <v>3</v>
      </c>
      <c r="F66" s="4">
        <v>64</v>
      </c>
      <c r="G66" s="4">
        <v>54</v>
      </c>
      <c r="H66" s="6">
        <f t="shared" si="0"/>
        <v>10</v>
      </c>
      <c r="I66" s="7">
        <f t="shared" si="1"/>
        <v>0.15625</v>
      </c>
      <c r="J66" s="4">
        <v>5</v>
      </c>
      <c r="K66" s="7">
        <f t="shared" si="2"/>
        <v>7.8125E-2</v>
      </c>
      <c r="L66" s="6">
        <f t="shared" si="3"/>
        <v>5</v>
      </c>
      <c r="M66" s="7">
        <f t="shared" si="4"/>
        <v>7.8125E-2</v>
      </c>
      <c r="N66" s="4">
        <v>4</v>
      </c>
    </row>
    <row r="67" spans="1:14" s="8" customFormat="1" x14ac:dyDescent="0.3">
      <c r="A67" s="1" t="s">
        <v>32</v>
      </c>
      <c r="B67" s="5" t="s">
        <v>13</v>
      </c>
      <c r="C67" s="4">
        <v>2</v>
      </c>
      <c r="D67" s="4" t="s">
        <v>116</v>
      </c>
      <c r="E67" s="4">
        <v>2</v>
      </c>
      <c r="F67" s="4">
        <v>64</v>
      </c>
      <c r="G67" s="4">
        <v>54</v>
      </c>
      <c r="H67" s="6">
        <f t="shared" ref="H67:H130" si="5">F67-G67</f>
        <v>10</v>
      </c>
      <c r="I67" s="7">
        <f t="shared" ref="I67:I130" si="6">H67/F67</f>
        <v>0.15625</v>
      </c>
      <c r="J67" s="4">
        <v>4</v>
      </c>
      <c r="K67" s="7">
        <f t="shared" ref="K67:K130" si="7">J67/F67</f>
        <v>6.25E-2</v>
      </c>
      <c r="L67" s="6">
        <f t="shared" ref="L67:L130" si="8">64-G67-J67</f>
        <v>6</v>
      </c>
      <c r="M67" s="7">
        <f t="shared" ref="M67:M130" si="9">L67/F67</f>
        <v>9.375E-2</v>
      </c>
      <c r="N67" s="4">
        <v>5</v>
      </c>
    </row>
    <row r="68" spans="1:14" s="8" customFormat="1" x14ac:dyDescent="0.3">
      <c r="A68" s="1" t="s">
        <v>32</v>
      </c>
      <c r="B68" s="5" t="s">
        <v>13</v>
      </c>
      <c r="C68" s="4">
        <v>3</v>
      </c>
      <c r="D68" s="4" t="s">
        <v>117</v>
      </c>
      <c r="E68" s="4">
        <v>4</v>
      </c>
      <c r="F68" s="4">
        <v>64</v>
      </c>
      <c r="G68" s="4">
        <v>57</v>
      </c>
      <c r="H68" s="6">
        <f t="shared" si="5"/>
        <v>7</v>
      </c>
      <c r="I68" s="7">
        <f t="shared" si="6"/>
        <v>0.109375</v>
      </c>
      <c r="J68" s="4">
        <v>6</v>
      </c>
      <c r="K68" s="7">
        <f t="shared" si="7"/>
        <v>9.375E-2</v>
      </c>
      <c r="L68" s="6">
        <f t="shared" si="8"/>
        <v>1</v>
      </c>
      <c r="M68" s="7">
        <f t="shared" si="9"/>
        <v>1.5625E-2</v>
      </c>
      <c r="N68" s="4">
        <v>4</v>
      </c>
    </row>
    <row r="69" spans="1:14" s="8" customFormat="1" x14ac:dyDescent="0.3">
      <c r="A69" s="1" t="s">
        <v>32</v>
      </c>
      <c r="B69" s="5" t="s">
        <v>13</v>
      </c>
      <c r="C69" s="4">
        <v>4</v>
      </c>
      <c r="D69" s="4" t="s">
        <v>118</v>
      </c>
      <c r="E69" s="4">
        <v>1</v>
      </c>
      <c r="F69" s="4">
        <v>64</v>
      </c>
      <c r="G69" s="4">
        <v>58</v>
      </c>
      <c r="H69" s="6">
        <f t="shared" si="5"/>
        <v>6</v>
      </c>
      <c r="I69" s="7">
        <f t="shared" si="6"/>
        <v>9.375E-2</v>
      </c>
      <c r="J69" s="4">
        <v>5</v>
      </c>
      <c r="K69" s="7">
        <f t="shared" si="7"/>
        <v>7.8125E-2</v>
      </c>
      <c r="L69" s="6">
        <f t="shared" si="8"/>
        <v>1</v>
      </c>
      <c r="M69" s="7">
        <f t="shared" si="9"/>
        <v>1.5625E-2</v>
      </c>
      <c r="N69" s="4">
        <v>5</v>
      </c>
    </row>
    <row r="70" spans="1:14" s="8" customFormat="1" x14ac:dyDescent="0.3">
      <c r="A70" s="1" t="s">
        <v>33</v>
      </c>
      <c r="B70" s="5" t="s">
        <v>13</v>
      </c>
      <c r="C70" s="4">
        <v>1</v>
      </c>
      <c r="D70" s="4" t="s">
        <v>119</v>
      </c>
      <c r="E70" s="4">
        <v>2</v>
      </c>
      <c r="F70" s="4">
        <v>64</v>
      </c>
      <c r="G70" s="4">
        <v>51</v>
      </c>
      <c r="H70" s="6">
        <f t="shared" si="5"/>
        <v>13</v>
      </c>
      <c r="I70" s="7">
        <f t="shared" si="6"/>
        <v>0.203125</v>
      </c>
      <c r="J70" s="4">
        <v>7</v>
      </c>
      <c r="K70" s="7">
        <f t="shared" si="7"/>
        <v>0.109375</v>
      </c>
      <c r="L70" s="6">
        <f t="shared" si="8"/>
        <v>6</v>
      </c>
      <c r="M70" s="7">
        <f t="shared" si="9"/>
        <v>9.375E-2</v>
      </c>
      <c r="N70" s="4">
        <v>4</v>
      </c>
    </row>
    <row r="71" spans="1:14" s="8" customFormat="1" x14ac:dyDescent="0.3">
      <c r="A71" s="1" t="s">
        <v>33</v>
      </c>
      <c r="B71" s="5" t="s">
        <v>13</v>
      </c>
      <c r="C71" s="4">
        <v>2</v>
      </c>
      <c r="D71" s="4" t="s">
        <v>120</v>
      </c>
      <c r="E71" s="4">
        <v>3</v>
      </c>
      <c r="F71" s="4">
        <v>64</v>
      </c>
      <c r="G71" s="4">
        <v>56</v>
      </c>
      <c r="H71" s="6">
        <f t="shared" si="5"/>
        <v>8</v>
      </c>
      <c r="I71" s="7">
        <f t="shared" si="6"/>
        <v>0.125</v>
      </c>
      <c r="J71" s="4">
        <v>5</v>
      </c>
      <c r="K71" s="7">
        <f t="shared" si="7"/>
        <v>7.8125E-2</v>
      </c>
      <c r="L71" s="6">
        <f t="shared" si="8"/>
        <v>3</v>
      </c>
      <c r="M71" s="7">
        <f t="shared" si="9"/>
        <v>4.6875E-2</v>
      </c>
      <c r="N71" s="4">
        <v>5</v>
      </c>
    </row>
    <row r="72" spans="1:14" s="8" customFormat="1" x14ac:dyDescent="0.3">
      <c r="A72" s="1" t="s">
        <v>33</v>
      </c>
      <c r="B72" s="5" t="s">
        <v>13</v>
      </c>
      <c r="C72" s="4">
        <v>3</v>
      </c>
      <c r="D72" s="4" t="s">
        <v>121</v>
      </c>
      <c r="E72" s="4">
        <v>4</v>
      </c>
      <c r="F72" s="4">
        <v>64</v>
      </c>
      <c r="G72" s="4">
        <v>56</v>
      </c>
      <c r="H72" s="6">
        <f t="shared" si="5"/>
        <v>8</v>
      </c>
      <c r="I72" s="7">
        <f t="shared" si="6"/>
        <v>0.125</v>
      </c>
      <c r="J72" s="4">
        <v>6</v>
      </c>
      <c r="K72" s="7">
        <f t="shared" si="7"/>
        <v>9.375E-2</v>
      </c>
      <c r="L72" s="6">
        <f t="shared" si="8"/>
        <v>2</v>
      </c>
      <c r="M72" s="7">
        <f t="shared" si="9"/>
        <v>3.125E-2</v>
      </c>
      <c r="N72" s="4">
        <v>5</v>
      </c>
    </row>
    <row r="73" spans="1:14" s="8" customFormat="1" x14ac:dyDescent="0.3">
      <c r="A73" s="1" t="s">
        <v>33</v>
      </c>
      <c r="B73" s="5" t="s">
        <v>13</v>
      </c>
      <c r="C73" s="4">
        <v>4</v>
      </c>
      <c r="D73" s="4" t="s">
        <v>122</v>
      </c>
      <c r="E73" s="4">
        <v>1</v>
      </c>
      <c r="F73" s="4">
        <v>64</v>
      </c>
      <c r="G73" s="4">
        <v>57</v>
      </c>
      <c r="H73" s="6">
        <f t="shared" si="5"/>
        <v>7</v>
      </c>
      <c r="I73" s="7">
        <f t="shared" si="6"/>
        <v>0.109375</v>
      </c>
      <c r="J73" s="4">
        <v>5</v>
      </c>
      <c r="K73" s="7">
        <f t="shared" si="7"/>
        <v>7.8125E-2</v>
      </c>
      <c r="L73" s="6">
        <f t="shared" si="8"/>
        <v>2</v>
      </c>
      <c r="M73" s="7">
        <f t="shared" si="9"/>
        <v>3.125E-2</v>
      </c>
      <c r="N73" s="4">
        <v>5</v>
      </c>
    </row>
    <row r="74" spans="1:14" s="8" customFormat="1" x14ac:dyDescent="0.3">
      <c r="A74" s="1" t="s">
        <v>34</v>
      </c>
      <c r="B74" s="5" t="s">
        <v>13</v>
      </c>
      <c r="C74" s="4">
        <v>1</v>
      </c>
      <c r="D74" s="4" t="s">
        <v>123</v>
      </c>
      <c r="E74" s="4">
        <v>2</v>
      </c>
      <c r="F74" s="4">
        <v>64</v>
      </c>
      <c r="G74" s="4">
        <v>57</v>
      </c>
      <c r="H74" s="6">
        <f t="shared" si="5"/>
        <v>7</v>
      </c>
      <c r="I74" s="7">
        <f t="shared" si="6"/>
        <v>0.109375</v>
      </c>
      <c r="J74" s="4">
        <v>5</v>
      </c>
      <c r="K74" s="7">
        <f t="shared" si="7"/>
        <v>7.8125E-2</v>
      </c>
      <c r="L74" s="6">
        <f t="shared" si="8"/>
        <v>2</v>
      </c>
      <c r="M74" s="7">
        <f t="shared" si="9"/>
        <v>3.125E-2</v>
      </c>
      <c r="N74" s="4">
        <v>5</v>
      </c>
    </row>
    <row r="75" spans="1:14" s="8" customFormat="1" x14ac:dyDescent="0.3">
      <c r="A75" s="1" t="s">
        <v>34</v>
      </c>
      <c r="B75" s="5" t="s">
        <v>13</v>
      </c>
      <c r="C75" s="4">
        <v>2</v>
      </c>
      <c r="D75" s="4" t="s">
        <v>124</v>
      </c>
      <c r="E75" s="4">
        <v>4</v>
      </c>
      <c r="F75" s="4">
        <v>64</v>
      </c>
      <c r="G75" s="4">
        <v>57</v>
      </c>
      <c r="H75" s="6">
        <f t="shared" si="5"/>
        <v>7</v>
      </c>
      <c r="I75" s="7">
        <f t="shared" si="6"/>
        <v>0.109375</v>
      </c>
      <c r="J75" s="4">
        <v>6</v>
      </c>
      <c r="K75" s="7">
        <f t="shared" si="7"/>
        <v>9.375E-2</v>
      </c>
      <c r="L75" s="6">
        <f t="shared" si="8"/>
        <v>1</v>
      </c>
      <c r="M75" s="7">
        <f t="shared" si="9"/>
        <v>1.5625E-2</v>
      </c>
      <c r="N75" s="4">
        <v>5</v>
      </c>
    </row>
    <row r="76" spans="1:14" s="8" customFormat="1" x14ac:dyDescent="0.3">
      <c r="A76" s="1" t="s">
        <v>34</v>
      </c>
      <c r="B76" s="5" t="s">
        <v>13</v>
      </c>
      <c r="C76" s="4">
        <v>3</v>
      </c>
      <c r="D76" s="4" t="s">
        <v>125</v>
      </c>
      <c r="E76" s="4">
        <v>3</v>
      </c>
      <c r="F76" s="4">
        <v>64</v>
      </c>
      <c r="G76" s="4">
        <v>56</v>
      </c>
      <c r="H76" s="6">
        <f t="shared" si="5"/>
        <v>8</v>
      </c>
      <c r="I76" s="7">
        <f t="shared" si="6"/>
        <v>0.125</v>
      </c>
      <c r="J76" s="4">
        <v>7</v>
      </c>
      <c r="K76" s="7">
        <f t="shared" si="7"/>
        <v>0.109375</v>
      </c>
      <c r="L76" s="6">
        <f t="shared" si="8"/>
        <v>1</v>
      </c>
      <c r="M76" s="7">
        <f t="shared" si="9"/>
        <v>1.5625E-2</v>
      </c>
      <c r="N76" s="4">
        <v>4</v>
      </c>
    </row>
    <row r="77" spans="1:14" s="8" customFormat="1" x14ac:dyDescent="0.3">
      <c r="A77" s="1" t="s">
        <v>34</v>
      </c>
      <c r="B77" s="5" t="s">
        <v>13</v>
      </c>
      <c r="C77" s="4">
        <v>4</v>
      </c>
      <c r="D77" s="4" t="s">
        <v>126</v>
      </c>
      <c r="E77" s="4">
        <v>1</v>
      </c>
      <c r="F77" s="4">
        <v>64</v>
      </c>
      <c r="G77" s="4">
        <v>55</v>
      </c>
      <c r="H77" s="6">
        <f t="shared" si="5"/>
        <v>9</v>
      </c>
      <c r="I77" s="7">
        <f t="shared" si="6"/>
        <v>0.140625</v>
      </c>
      <c r="J77" s="4">
        <v>7</v>
      </c>
      <c r="K77" s="7">
        <f t="shared" si="7"/>
        <v>0.109375</v>
      </c>
      <c r="L77" s="6">
        <f t="shared" si="8"/>
        <v>2</v>
      </c>
      <c r="M77" s="7">
        <f t="shared" si="9"/>
        <v>3.125E-2</v>
      </c>
      <c r="N77" s="4">
        <v>5</v>
      </c>
    </row>
    <row r="78" spans="1:14" s="8" customFormat="1" x14ac:dyDescent="0.3">
      <c r="A78" s="1" t="s">
        <v>35</v>
      </c>
      <c r="B78" s="5" t="s">
        <v>13</v>
      </c>
      <c r="C78" s="4">
        <v>1</v>
      </c>
      <c r="D78" s="4" t="s">
        <v>127</v>
      </c>
      <c r="E78" s="4">
        <v>2</v>
      </c>
      <c r="F78" s="4">
        <v>64</v>
      </c>
      <c r="G78" s="4">
        <v>56</v>
      </c>
      <c r="H78" s="6">
        <f t="shared" si="5"/>
        <v>8</v>
      </c>
      <c r="I78" s="7">
        <f t="shared" si="6"/>
        <v>0.125</v>
      </c>
      <c r="J78" s="4">
        <v>5</v>
      </c>
      <c r="K78" s="7">
        <f t="shared" si="7"/>
        <v>7.8125E-2</v>
      </c>
      <c r="L78" s="6">
        <f t="shared" si="8"/>
        <v>3</v>
      </c>
      <c r="M78" s="7">
        <f t="shared" si="9"/>
        <v>4.6875E-2</v>
      </c>
      <c r="N78" s="4">
        <v>5</v>
      </c>
    </row>
    <row r="79" spans="1:14" s="8" customFormat="1" x14ac:dyDescent="0.3">
      <c r="A79" s="1" t="s">
        <v>35</v>
      </c>
      <c r="B79" s="5" t="s">
        <v>13</v>
      </c>
      <c r="C79" s="4">
        <v>2</v>
      </c>
      <c r="D79" s="4" t="s">
        <v>128</v>
      </c>
      <c r="E79" s="4">
        <v>4</v>
      </c>
      <c r="F79" s="4">
        <v>64</v>
      </c>
      <c r="G79" s="4">
        <v>53</v>
      </c>
      <c r="H79" s="6">
        <f t="shared" si="5"/>
        <v>11</v>
      </c>
      <c r="I79" s="7">
        <f t="shared" si="6"/>
        <v>0.171875</v>
      </c>
      <c r="J79" s="4">
        <v>8</v>
      </c>
      <c r="K79" s="7">
        <f t="shared" si="7"/>
        <v>0.125</v>
      </c>
      <c r="L79" s="6">
        <f t="shared" si="8"/>
        <v>3</v>
      </c>
      <c r="M79" s="7">
        <f t="shared" si="9"/>
        <v>4.6875E-2</v>
      </c>
      <c r="N79" s="4">
        <v>4</v>
      </c>
    </row>
    <row r="80" spans="1:14" s="8" customFormat="1" x14ac:dyDescent="0.3">
      <c r="A80" s="1" t="s">
        <v>35</v>
      </c>
      <c r="B80" s="5" t="s">
        <v>13</v>
      </c>
      <c r="C80" s="4">
        <v>3</v>
      </c>
      <c r="D80" s="4" t="s">
        <v>129</v>
      </c>
      <c r="E80" s="4">
        <v>1</v>
      </c>
      <c r="F80" s="4">
        <v>64</v>
      </c>
      <c r="G80" s="4">
        <v>53</v>
      </c>
      <c r="H80" s="6">
        <f t="shared" si="5"/>
        <v>11</v>
      </c>
      <c r="I80" s="7">
        <f t="shared" si="6"/>
        <v>0.171875</v>
      </c>
      <c r="J80" s="4">
        <v>4</v>
      </c>
      <c r="K80" s="7">
        <f t="shared" si="7"/>
        <v>6.25E-2</v>
      </c>
      <c r="L80" s="6">
        <f t="shared" si="8"/>
        <v>7</v>
      </c>
      <c r="M80" s="7">
        <f t="shared" si="9"/>
        <v>0.109375</v>
      </c>
      <c r="N80" s="4">
        <v>3</v>
      </c>
    </row>
    <row r="81" spans="1:14" s="8" customFormat="1" x14ac:dyDescent="0.3">
      <c r="A81" s="1" t="s">
        <v>35</v>
      </c>
      <c r="B81" s="5" t="s">
        <v>13</v>
      </c>
      <c r="C81" s="4">
        <v>4</v>
      </c>
      <c r="D81" s="4" t="s">
        <v>130</v>
      </c>
      <c r="E81" s="4">
        <v>3</v>
      </c>
      <c r="F81" s="4">
        <v>64</v>
      </c>
      <c r="G81" s="4">
        <v>56</v>
      </c>
      <c r="H81" s="6">
        <f t="shared" si="5"/>
        <v>8</v>
      </c>
      <c r="I81" s="7">
        <f t="shared" si="6"/>
        <v>0.125</v>
      </c>
      <c r="J81" s="4">
        <v>6</v>
      </c>
      <c r="K81" s="7">
        <f t="shared" si="7"/>
        <v>9.375E-2</v>
      </c>
      <c r="L81" s="6">
        <f t="shared" si="8"/>
        <v>2</v>
      </c>
      <c r="M81" s="7">
        <f t="shared" si="9"/>
        <v>3.125E-2</v>
      </c>
      <c r="N81" s="4">
        <v>5</v>
      </c>
    </row>
    <row r="82" spans="1:14" s="8" customFormat="1" x14ac:dyDescent="0.3">
      <c r="A82" s="1" t="s">
        <v>36</v>
      </c>
      <c r="B82" s="5" t="s">
        <v>13</v>
      </c>
      <c r="C82" s="4">
        <v>1</v>
      </c>
      <c r="D82" s="4" t="s">
        <v>131</v>
      </c>
      <c r="E82" s="4">
        <v>3</v>
      </c>
      <c r="F82" s="4">
        <v>64</v>
      </c>
      <c r="G82" s="4">
        <v>54</v>
      </c>
      <c r="H82" s="6">
        <f t="shared" si="5"/>
        <v>10</v>
      </c>
      <c r="I82" s="7">
        <f t="shared" si="6"/>
        <v>0.15625</v>
      </c>
      <c r="J82" s="4">
        <v>6</v>
      </c>
      <c r="K82" s="7">
        <f t="shared" si="7"/>
        <v>9.375E-2</v>
      </c>
      <c r="L82" s="6">
        <f t="shared" si="8"/>
        <v>4</v>
      </c>
      <c r="M82" s="7">
        <f t="shared" si="9"/>
        <v>6.25E-2</v>
      </c>
      <c r="N82" s="4">
        <v>5</v>
      </c>
    </row>
    <row r="83" spans="1:14" s="8" customFormat="1" x14ac:dyDescent="0.3">
      <c r="A83" s="1" t="s">
        <v>36</v>
      </c>
      <c r="B83" s="5" t="s">
        <v>13</v>
      </c>
      <c r="C83" s="4">
        <v>2</v>
      </c>
      <c r="D83" s="4" t="s">
        <v>132</v>
      </c>
      <c r="E83" s="4">
        <v>1</v>
      </c>
      <c r="F83" s="4">
        <v>64</v>
      </c>
      <c r="G83" s="4">
        <v>55</v>
      </c>
      <c r="H83" s="6">
        <f t="shared" si="5"/>
        <v>9</v>
      </c>
      <c r="I83" s="7">
        <f t="shared" si="6"/>
        <v>0.140625</v>
      </c>
      <c r="J83" s="4">
        <v>6</v>
      </c>
      <c r="K83" s="7">
        <f t="shared" si="7"/>
        <v>9.375E-2</v>
      </c>
      <c r="L83" s="6">
        <f t="shared" si="8"/>
        <v>3</v>
      </c>
      <c r="M83" s="7">
        <f t="shared" si="9"/>
        <v>4.6875E-2</v>
      </c>
      <c r="N83" s="4">
        <v>5</v>
      </c>
    </row>
    <row r="84" spans="1:14" s="8" customFormat="1" x14ac:dyDescent="0.3">
      <c r="A84" s="1" t="s">
        <v>36</v>
      </c>
      <c r="B84" s="5" t="s">
        <v>13</v>
      </c>
      <c r="C84" s="4">
        <v>3</v>
      </c>
      <c r="D84" s="4" t="s">
        <v>133</v>
      </c>
      <c r="E84" s="4">
        <v>4</v>
      </c>
      <c r="F84" s="4">
        <v>64</v>
      </c>
      <c r="G84" s="4">
        <v>57</v>
      </c>
      <c r="H84" s="6">
        <f t="shared" si="5"/>
        <v>7</v>
      </c>
      <c r="I84" s="7">
        <f t="shared" si="6"/>
        <v>0.109375</v>
      </c>
      <c r="J84" s="4">
        <v>6</v>
      </c>
      <c r="K84" s="7">
        <f t="shared" si="7"/>
        <v>9.375E-2</v>
      </c>
      <c r="L84" s="6">
        <f t="shared" si="8"/>
        <v>1</v>
      </c>
      <c r="M84" s="7">
        <f t="shared" si="9"/>
        <v>1.5625E-2</v>
      </c>
      <c r="N84" s="4">
        <v>5</v>
      </c>
    </row>
    <row r="85" spans="1:14" s="8" customFormat="1" x14ac:dyDescent="0.3">
      <c r="A85" s="1" t="s">
        <v>36</v>
      </c>
      <c r="B85" s="5" t="s">
        <v>13</v>
      </c>
      <c r="C85" s="4">
        <v>4</v>
      </c>
      <c r="D85" s="4" t="s">
        <v>134</v>
      </c>
      <c r="E85" s="4">
        <v>2</v>
      </c>
      <c r="F85" s="4">
        <v>64</v>
      </c>
      <c r="G85" s="4">
        <v>58</v>
      </c>
      <c r="H85" s="6">
        <f t="shared" si="5"/>
        <v>6</v>
      </c>
      <c r="I85" s="7">
        <f t="shared" si="6"/>
        <v>9.375E-2</v>
      </c>
      <c r="J85" s="4">
        <v>4</v>
      </c>
      <c r="K85" s="7">
        <f t="shared" si="7"/>
        <v>6.25E-2</v>
      </c>
      <c r="L85" s="6">
        <f t="shared" si="8"/>
        <v>2</v>
      </c>
      <c r="M85" s="7">
        <f t="shared" si="9"/>
        <v>3.125E-2</v>
      </c>
      <c r="N85" s="4">
        <v>5</v>
      </c>
    </row>
    <row r="86" spans="1:14" s="8" customFormat="1" x14ac:dyDescent="0.3">
      <c r="A86" s="1" t="s">
        <v>37</v>
      </c>
      <c r="B86" s="5" t="s">
        <v>13</v>
      </c>
      <c r="C86" s="4">
        <v>1</v>
      </c>
      <c r="D86" s="4" t="s">
        <v>135</v>
      </c>
      <c r="E86" s="4">
        <v>1</v>
      </c>
      <c r="F86" s="4">
        <v>64</v>
      </c>
      <c r="G86" s="4">
        <v>55</v>
      </c>
      <c r="H86" s="6">
        <f t="shared" si="5"/>
        <v>9</v>
      </c>
      <c r="I86" s="7">
        <f t="shared" si="6"/>
        <v>0.140625</v>
      </c>
      <c r="J86" s="4">
        <v>4</v>
      </c>
      <c r="K86" s="7">
        <f t="shared" si="7"/>
        <v>6.25E-2</v>
      </c>
      <c r="L86" s="6">
        <f t="shared" si="8"/>
        <v>5</v>
      </c>
      <c r="M86" s="7">
        <f t="shared" si="9"/>
        <v>7.8125E-2</v>
      </c>
      <c r="N86" s="4">
        <v>5</v>
      </c>
    </row>
    <row r="87" spans="1:14" s="8" customFormat="1" x14ac:dyDescent="0.3">
      <c r="A87" s="1" t="s">
        <v>37</v>
      </c>
      <c r="B87" s="5" t="s">
        <v>13</v>
      </c>
      <c r="C87" s="4">
        <v>2</v>
      </c>
      <c r="D87" s="4" t="s">
        <v>136</v>
      </c>
      <c r="E87" s="4">
        <v>4</v>
      </c>
      <c r="F87" s="4">
        <v>64</v>
      </c>
      <c r="G87" s="4">
        <v>59</v>
      </c>
      <c r="H87" s="6">
        <f t="shared" si="5"/>
        <v>5</v>
      </c>
      <c r="I87" s="7">
        <f t="shared" si="6"/>
        <v>7.8125E-2</v>
      </c>
      <c r="J87" s="4">
        <v>4</v>
      </c>
      <c r="K87" s="7">
        <f t="shared" si="7"/>
        <v>6.25E-2</v>
      </c>
      <c r="L87" s="6">
        <f t="shared" si="8"/>
        <v>1</v>
      </c>
      <c r="M87" s="7">
        <f t="shared" si="9"/>
        <v>1.5625E-2</v>
      </c>
      <c r="N87" s="4">
        <v>5</v>
      </c>
    </row>
    <row r="88" spans="1:14" s="8" customFormat="1" x14ac:dyDescent="0.3">
      <c r="A88" s="1" t="s">
        <v>37</v>
      </c>
      <c r="B88" s="5" t="s">
        <v>13</v>
      </c>
      <c r="C88" s="4">
        <v>3</v>
      </c>
      <c r="D88" s="4" t="s">
        <v>137</v>
      </c>
      <c r="E88" s="4">
        <v>2</v>
      </c>
      <c r="F88" s="4">
        <v>64</v>
      </c>
      <c r="G88" s="4">
        <v>55</v>
      </c>
      <c r="H88" s="6">
        <f t="shared" si="5"/>
        <v>9</v>
      </c>
      <c r="I88" s="7">
        <f t="shared" si="6"/>
        <v>0.140625</v>
      </c>
      <c r="J88" s="4">
        <v>6</v>
      </c>
      <c r="K88" s="7">
        <f t="shared" si="7"/>
        <v>9.375E-2</v>
      </c>
      <c r="L88" s="6">
        <f t="shared" si="8"/>
        <v>3</v>
      </c>
      <c r="M88" s="7">
        <f t="shared" si="9"/>
        <v>4.6875E-2</v>
      </c>
      <c r="N88" s="4">
        <v>5</v>
      </c>
    </row>
    <row r="89" spans="1:14" s="8" customFormat="1" x14ac:dyDescent="0.3">
      <c r="A89" s="1" t="s">
        <v>37</v>
      </c>
      <c r="B89" s="5" t="s">
        <v>13</v>
      </c>
      <c r="C89" s="4">
        <v>4</v>
      </c>
      <c r="D89" s="4" t="s">
        <v>138</v>
      </c>
      <c r="E89" s="4">
        <v>3</v>
      </c>
      <c r="F89" s="4">
        <v>64</v>
      </c>
      <c r="G89" s="4">
        <v>58</v>
      </c>
      <c r="H89" s="6">
        <f t="shared" si="5"/>
        <v>6</v>
      </c>
      <c r="I89" s="7">
        <f t="shared" si="6"/>
        <v>9.375E-2</v>
      </c>
      <c r="J89" s="4">
        <v>5</v>
      </c>
      <c r="K89" s="7">
        <f t="shared" si="7"/>
        <v>7.8125E-2</v>
      </c>
      <c r="L89" s="6">
        <f t="shared" si="8"/>
        <v>1</v>
      </c>
      <c r="M89" s="7">
        <f t="shared" si="9"/>
        <v>1.5625E-2</v>
      </c>
      <c r="N89" s="4">
        <v>5</v>
      </c>
    </row>
    <row r="90" spans="1:14" s="8" customFormat="1" x14ac:dyDescent="0.3">
      <c r="A90" s="1" t="s">
        <v>38</v>
      </c>
      <c r="B90" s="5" t="s">
        <v>17</v>
      </c>
      <c r="C90" s="4">
        <v>1</v>
      </c>
      <c r="D90" s="4" t="s">
        <v>139</v>
      </c>
      <c r="E90" s="4">
        <v>1</v>
      </c>
      <c r="F90" s="4">
        <v>64</v>
      </c>
      <c r="G90" s="4">
        <v>45</v>
      </c>
      <c r="H90" s="6">
        <f t="shared" si="5"/>
        <v>19</v>
      </c>
      <c r="I90" s="7">
        <f t="shared" si="6"/>
        <v>0.296875</v>
      </c>
      <c r="J90" s="4">
        <v>5</v>
      </c>
      <c r="K90" s="7">
        <f t="shared" si="7"/>
        <v>7.8125E-2</v>
      </c>
      <c r="L90" s="6">
        <f t="shared" si="8"/>
        <v>14</v>
      </c>
      <c r="M90" s="7">
        <f t="shared" si="9"/>
        <v>0.21875</v>
      </c>
      <c r="N90" s="4">
        <v>4</v>
      </c>
    </row>
    <row r="91" spans="1:14" s="8" customFormat="1" x14ac:dyDescent="0.3">
      <c r="A91" s="1" t="s">
        <v>38</v>
      </c>
      <c r="B91" s="5" t="s">
        <v>17</v>
      </c>
      <c r="C91" s="4">
        <v>2</v>
      </c>
      <c r="D91" s="4" t="s">
        <v>140</v>
      </c>
      <c r="E91" s="4">
        <v>2</v>
      </c>
      <c r="F91" s="4">
        <v>64</v>
      </c>
      <c r="G91" s="4">
        <v>58</v>
      </c>
      <c r="H91" s="6">
        <f t="shared" si="5"/>
        <v>6</v>
      </c>
      <c r="I91" s="7">
        <f t="shared" si="6"/>
        <v>9.375E-2</v>
      </c>
      <c r="J91" s="4">
        <v>4</v>
      </c>
      <c r="K91" s="7">
        <f t="shared" si="7"/>
        <v>6.25E-2</v>
      </c>
      <c r="L91" s="6">
        <f t="shared" si="8"/>
        <v>2</v>
      </c>
      <c r="M91" s="7">
        <f t="shared" si="9"/>
        <v>3.125E-2</v>
      </c>
      <c r="N91" s="4">
        <v>5</v>
      </c>
    </row>
    <row r="92" spans="1:14" s="8" customFormat="1" x14ac:dyDescent="0.3">
      <c r="A92" s="1" t="s">
        <v>38</v>
      </c>
      <c r="B92" s="5" t="s">
        <v>17</v>
      </c>
      <c r="C92" s="4">
        <v>3</v>
      </c>
      <c r="D92" s="4" t="s">
        <v>141</v>
      </c>
      <c r="E92" s="4">
        <v>4</v>
      </c>
      <c r="F92" s="4">
        <v>64</v>
      </c>
      <c r="G92" s="4">
        <v>54</v>
      </c>
      <c r="H92" s="6">
        <f t="shared" si="5"/>
        <v>10</v>
      </c>
      <c r="I92" s="7">
        <f t="shared" si="6"/>
        <v>0.15625</v>
      </c>
      <c r="J92" s="4">
        <v>6</v>
      </c>
      <c r="K92" s="7">
        <f t="shared" si="7"/>
        <v>9.375E-2</v>
      </c>
      <c r="L92" s="6">
        <f t="shared" si="8"/>
        <v>4</v>
      </c>
      <c r="M92" s="7">
        <f t="shared" si="9"/>
        <v>6.25E-2</v>
      </c>
      <c r="N92" s="4">
        <v>5</v>
      </c>
    </row>
    <row r="93" spans="1:14" x14ac:dyDescent="0.3">
      <c r="A93" s="1" t="s">
        <v>38</v>
      </c>
      <c r="B93" s="5" t="s">
        <v>17</v>
      </c>
      <c r="C93" s="4">
        <v>4</v>
      </c>
      <c r="D93" s="4" t="s">
        <v>142</v>
      </c>
      <c r="E93" s="4">
        <v>3</v>
      </c>
      <c r="F93" s="4">
        <v>64</v>
      </c>
      <c r="G93" s="4">
        <v>57</v>
      </c>
      <c r="H93" s="6">
        <f t="shared" si="5"/>
        <v>7</v>
      </c>
      <c r="I93" s="7">
        <f t="shared" si="6"/>
        <v>0.109375</v>
      </c>
      <c r="J93" s="4">
        <v>4</v>
      </c>
      <c r="K93" s="7">
        <f t="shared" si="7"/>
        <v>6.25E-2</v>
      </c>
      <c r="L93" s="6">
        <f t="shared" si="8"/>
        <v>3</v>
      </c>
      <c r="M93" s="7">
        <f t="shared" si="9"/>
        <v>4.6875E-2</v>
      </c>
      <c r="N93" s="4">
        <v>4</v>
      </c>
    </row>
    <row r="94" spans="1:14" x14ac:dyDescent="0.3">
      <c r="A94" s="1" t="s">
        <v>39</v>
      </c>
      <c r="B94" s="5" t="s">
        <v>13</v>
      </c>
      <c r="C94" s="4">
        <v>1</v>
      </c>
      <c r="D94" s="4" t="s">
        <v>143</v>
      </c>
      <c r="E94" s="4">
        <v>2</v>
      </c>
      <c r="F94" s="4">
        <v>64</v>
      </c>
      <c r="G94" s="4">
        <v>51</v>
      </c>
      <c r="H94" s="6">
        <f t="shared" si="5"/>
        <v>13</v>
      </c>
      <c r="I94" s="7">
        <f t="shared" si="6"/>
        <v>0.203125</v>
      </c>
      <c r="J94" s="4">
        <v>8</v>
      </c>
      <c r="K94" s="7">
        <f t="shared" si="7"/>
        <v>0.125</v>
      </c>
      <c r="L94" s="6">
        <f t="shared" si="8"/>
        <v>5</v>
      </c>
      <c r="M94" s="7">
        <f t="shared" si="9"/>
        <v>7.8125E-2</v>
      </c>
      <c r="N94" s="4">
        <v>4</v>
      </c>
    </row>
    <row r="95" spans="1:14" x14ac:dyDescent="0.3">
      <c r="A95" s="1" t="s">
        <v>39</v>
      </c>
      <c r="B95" s="5" t="s">
        <v>13</v>
      </c>
      <c r="C95" s="4">
        <v>2</v>
      </c>
      <c r="D95" s="4" t="s">
        <v>144</v>
      </c>
      <c r="E95" s="4">
        <v>1</v>
      </c>
      <c r="F95" s="4">
        <v>64</v>
      </c>
      <c r="G95" s="4">
        <v>55</v>
      </c>
      <c r="H95" s="6">
        <f t="shared" si="5"/>
        <v>9</v>
      </c>
      <c r="I95" s="7">
        <f t="shared" si="6"/>
        <v>0.140625</v>
      </c>
      <c r="J95" s="4">
        <v>5</v>
      </c>
      <c r="K95" s="7">
        <f t="shared" si="7"/>
        <v>7.8125E-2</v>
      </c>
      <c r="L95" s="6">
        <f t="shared" si="8"/>
        <v>4</v>
      </c>
      <c r="M95" s="7">
        <f t="shared" si="9"/>
        <v>6.25E-2</v>
      </c>
      <c r="N95" s="4">
        <v>5</v>
      </c>
    </row>
    <row r="96" spans="1:14" x14ac:dyDescent="0.3">
      <c r="A96" s="1" t="s">
        <v>39</v>
      </c>
      <c r="B96" s="5" t="s">
        <v>13</v>
      </c>
      <c r="C96" s="4">
        <v>3</v>
      </c>
      <c r="D96" s="4" t="s">
        <v>145</v>
      </c>
      <c r="E96" s="4">
        <v>4</v>
      </c>
      <c r="F96" s="4">
        <v>64</v>
      </c>
      <c r="G96" s="4">
        <v>58</v>
      </c>
      <c r="H96" s="6">
        <f t="shared" si="5"/>
        <v>6</v>
      </c>
      <c r="I96" s="7">
        <f t="shared" si="6"/>
        <v>9.375E-2</v>
      </c>
      <c r="J96" s="4">
        <v>4</v>
      </c>
      <c r="K96" s="7">
        <f t="shared" si="7"/>
        <v>6.25E-2</v>
      </c>
      <c r="L96" s="6">
        <f t="shared" si="8"/>
        <v>2</v>
      </c>
      <c r="M96" s="7">
        <f t="shared" si="9"/>
        <v>3.125E-2</v>
      </c>
      <c r="N96" s="4">
        <v>5</v>
      </c>
    </row>
    <row r="97" spans="1:14" x14ac:dyDescent="0.3">
      <c r="A97" s="1" t="s">
        <v>39</v>
      </c>
      <c r="B97" s="5" t="s">
        <v>13</v>
      </c>
      <c r="C97" s="4">
        <v>4</v>
      </c>
      <c r="D97" s="4" t="s">
        <v>146</v>
      </c>
      <c r="E97" s="4">
        <v>3</v>
      </c>
      <c r="F97" s="4">
        <v>64</v>
      </c>
      <c r="G97" s="4">
        <v>57</v>
      </c>
      <c r="H97" s="6">
        <f t="shared" si="5"/>
        <v>7</v>
      </c>
      <c r="I97" s="7">
        <f t="shared" si="6"/>
        <v>0.109375</v>
      </c>
      <c r="J97" s="4">
        <v>3</v>
      </c>
      <c r="K97" s="7">
        <f t="shared" si="7"/>
        <v>4.6875E-2</v>
      </c>
      <c r="L97" s="6">
        <f t="shared" si="8"/>
        <v>4</v>
      </c>
      <c r="M97" s="7">
        <f t="shared" si="9"/>
        <v>6.25E-2</v>
      </c>
      <c r="N97" s="4">
        <v>4</v>
      </c>
    </row>
    <row r="98" spans="1:14" x14ac:dyDescent="0.3">
      <c r="A98" s="1" t="s">
        <v>40</v>
      </c>
      <c r="B98" s="5" t="s">
        <v>13</v>
      </c>
      <c r="C98" s="4">
        <v>1</v>
      </c>
      <c r="D98" s="4" t="s">
        <v>147</v>
      </c>
      <c r="E98" s="4">
        <v>3</v>
      </c>
      <c r="F98" s="4">
        <v>64</v>
      </c>
      <c r="G98" s="9">
        <v>46</v>
      </c>
      <c r="H98" s="6">
        <f t="shared" si="5"/>
        <v>18</v>
      </c>
      <c r="I98" s="7">
        <f t="shared" si="6"/>
        <v>0.28125</v>
      </c>
      <c r="J98" s="9">
        <v>6</v>
      </c>
      <c r="K98" s="7">
        <f t="shared" si="7"/>
        <v>9.375E-2</v>
      </c>
      <c r="L98" s="6">
        <f t="shared" si="8"/>
        <v>12</v>
      </c>
      <c r="M98" s="7">
        <f t="shared" si="9"/>
        <v>0.1875</v>
      </c>
      <c r="N98" s="9">
        <v>3</v>
      </c>
    </row>
    <row r="99" spans="1:14" x14ac:dyDescent="0.3">
      <c r="A99" s="1" t="s">
        <v>40</v>
      </c>
      <c r="B99" s="5" t="s">
        <v>13</v>
      </c>
      <c r="C99" s="4">
        <v>2</v>
      </c>
      <c r="D99" s="4" t="s">
        <v>148</v>
      </c>
      <c r="E99" s="4">
        <v>2</v>
      </c>
      <c r="F99" s="4">
        <v>64</v>
      </c>
      <c r="G99" s="9">
        <v>52</v>
      </c>
      <c r="H99" s="6">
        <f t="shared" si="5"/>
        <v>12</v>
      </c>
      <c r="I99" s="7">
        <f t="shared" si="6"/>
        <v>0.1875</v>
      </c>
      <c r="J99" s="10">
        <v>9</v>
      </c>
      <c r="K99" s="7">
        <f t="shared" si="7"/>
        <v>0.140625</v>
      </c>
      <c r="L99" s="6">
        <f t="shared" si="8"/>
        <v>3</v>
      </c>
      <c r="M99" s="7">
        <f t="shared" si="9"/>
        <v>4.6875E-2</v>
      </c>
      <c r="N99" s="10">
        <v>3</v>
      </c>
    </row>
    <row r="100" spans="1:14" x14ac:dyDescent="0.3">
      <c r="A100" s="1" t="s">
        <v>40</v>
      </c>
      <c r="B100" s="5" t="s">
        <v>13</v>
      </c>
      <c r="C100" s="4">
        <v>3</v>
      </c>
      <c r="D100" s="4" t="s">
        <v>149</v>
      </c>
      <c r="E100" s="4">
        <v>4</v>
      </c>
      <c r="F100" s="4">
        <v>64</v>
      </c>
      <c r="G100" s="9">
        <v>54</v>
      </c>
      <c r="H100" s="6">
        <f t="shared" si="5"/>
        <v>10</v>
      </c>
      <c r="I100" s="7">
        <f t="shared" si="6"/>
        <v>0.15625</v>
      </c>
      <c r="J100" s="10">
        <v>6</v>
      </c>
      <c r="K100" s="7">
        <f t="shared" si="7"/>
        <v>9.375E-2</v>
      </c>
      <c r="L100" s="6">
        <f t="shared" si="8"/>
        <v>4</v>
      </c>
      <c r="M100" s="7">
        <f t="shared" si="9"/>
        <v>6.25E-2</v>
      </c>
      <c r="N100" s="10">
        <v>4</v>
      </c>
    </row>
    <row r="101" spans="1:14" x14ac:dyDescent="0.3">
      <c r="A101" s="1" t="s">
        <v>40</v>
      </c>
      <c r="B101" s="5" t="s">
        <v>13</v>
      </c>
      <c r="C101" s="4">
        <v>4</v>
      </c>
      <c r="D101" s="4" t="s">
        <v>150</v>
      </c>
      <c r="E101" s="4">
        <v>1</v>
      </c>
      <c r="F101" s="4">
        <v>64</v>
      </c>
      <c r="G101" s="9">
        <v>56</v>
      </c>
      <c r="H101" s="6">
        <f t="shared" si="5"/>
        <v>8</v>
      </c>
      <c r="I101" s="7">
        <f t="shared" si="6"/>
        <v>0.125</v>
      </c>
      <c r="J101" s="9">
        <v>5</v>
      </c>
      <c r="K101" s="7">
        <f t="shared" si="7"/>
        <v>7.8125E-2</v>
      </c>
      <c r="L101" s="6">
        <f t="shared" si="8"/>
        <v>3</v>
      </c>
      <c r="M101" s="7">
        <f t="shared" si="9"/>
        <v>4.6875E-2</v>
      </c>
      <c r="N101" s="9">
        <v>4</v>
      </c>
    </row>
    <row r="102" spans="1:14" x14ac:dyDescent="0.3">
      <c r="A102" s="1" t="s">
        <v>41</v>
      </c>
      <c r="B102" s="5" t="s">
        <v>17</v>
      </c>
      <c r="C102" s="4">
        <v>1</v>
      </c>
      <c r="D102" s="4" t="s">
        <v>151</v>
      </c>
      <c r="E102" s="4">
        <v>2</v>
      </c>
      <c r="F102" s="4">
        <v>64</v>
      </c>
      <c r="G102" s="9">
        <v>36</v>
      </c>
      <c r="H102" s="6">
        <f t="shared" si="5"/>
        <v>28</v>
      </c>
      <c r="I102" s="7">
        <f t="shared" si="6"/>
        <v>0.4375</v>
      </c>
      <c r="J102" s="10">
        <v>14</v>
      </c>
      <c r="K102" s="7">
        <f t="shared" si="7"/>
        <v>0.21875</v>
      </c>
      <c r="L102" s="6">
        <f t="shared" si="8"/>
        <v>14</v>
      </c>
      <c r="M102" s="7">
        <f t="shared" si="9"/>
        <v>0.21875</v>
      </c>
      <c r="N102" s="10">
        <v>1</v>
      </c>
    </row>
    <row r="103" spans="1:14" x14ac:dyDescent="0.3">
      <c r="A103" s="1" t="s">
        <v>41</v>
      </c>
      <c r="B103" s="5" t="s">
        <v>17</v>
      </c>
      <c r="C103" s="4">
        <v>2</v>
      </c>
      <c r="D103" s="4" t="s">
        <v>152</v>
      </c>
      <c r="E103" s="4">
        <v>3</v>
      </c>
      <c r="F103" s="4">
        <v>64</v>
      </c>
      <c r="G103" s="9">
        <v>37</v>
      </c>
      <c r="H103" s="6">
        <f t="shared" si="5"/>
        <v>27</v>
      </c>
      <c r="I103" s="7">
        <f t="shared" si="6"/>
        <v>0.421875</v>
      </c>
      <c r="J103" s="10">
        <v>14</v>
      </c>
      <c r="K103" s="7">
        <f t="shared" si="7"/>
        <v>0.21875</v>
      </c>
      <c r="L103" s="6">
        <f t="shared" si="8"/>
        <v>13</v>
      </c>
      <c r="M103" s="7">
        <f t="shared" si="9"/>
        <v>0.203125</v>
      </c>
      <c r="N103" s="10">
        <v>2</v>
      </c>
    </row>
    <row r="104" spans="1:14" x14ac:dyDescent="0.3">
      <c r="A104" s="1" t="s">
        <v>41</v>
      </c>
      <c r="B104" s="5" t="s">
        <v>17</v>
      </c>
      <c r="C104" s="4">
        <v>3</v>
      </c>
      <c r="D104" s="4" t="s">
        <v>153</v>
      </c>
      <c r="E104" s="4">
        <v>4</v>
      </c>
      <c r="F104" s="4">
        <v>64</v>
      </c>
      <c r="G104" s="9">
        <v>52</v>
      </c>
      <c r="H104" s="6">
        <f t="shared" si="5"/>
        <v>12</v>
      </c>
      <c r="I104" s="7">
        <f t="shared" si="6"/>
        <v>0.1875</v>
      </c>
      <c r="J104" s="10">
        <v>8</v>
      </c>
      <c r="K104" s="7">
        <f t="shared" si="7"/>
        <v>0.125</v>
      </c>
      <c r="L104" s="6">
        <f t="shared" si="8"/>
        <v>4</v>
      </c>
      <c r="M104" s="7">
        <f t="shared" si="9"/>
        <v>6.25E-2</v>
      </c>
      <c r="N104" s="10">
        <v>4</v>
      </c>
    </row>
    <row r="105" spans="1:14" x14ac:dyDescent="0.3">
      <c r="A105" s="1" t="s">
        <v>41</v>
      </c>
      <c r="B105" s="5" t="s">
        <v>17</v>
      </c>
      <c r="C105" s="4">
        <v>4</v>
      </c>
      <c r="D105" s="4" t="s">
        <v>154</v>
      </c>
      <c r="E105" s="4">
        <v>1</v>
      </c>
      <c r="F105" s="4">
        <v>64</v>
      </c>
      <c r="G105" s="9">
        <v>56</v>
      </c>
      <c r="H105" s="6">
        <f t="shared" si="5"/>
        <v>8</v>
      </c>
      <c r="I105" s="7">
        <f t="shared" si="6"/>
        <v>0.125</v>
      </c>
      <c r="J105" s="9">
        <v>6</v>
      </c>
      <c r="K105" s="7">
        <f t="shared" si="7"/>
        <v>9.375E-2</v>
      </c>
      <c r="L105" s="6">
        <f t="shared" si="8"/>
        <v>2</v>
      </c>
      <c r="M105" s="7">
        <f t="shared" si="9"/>
        <v>3.125E-2</v>
      </c>
      <c r="N105" s="9">
        <v>4</v>
      </c>
    </row>
    <row r="106" spans="1:14" x14ac:dyDescent="0.3">
      <c r="A106" s="1" t="s">
        <v>42</v>
      </c>
      <c r="B106" s="5" t="s">
        <v>13</v>
      </c>
      <c r="C106" s="4">
        <v>1</v>
      </c>
      <c r="D106" s="4" t="s">
        <v>155</v>
      </c>
      <c r="E106" s="4">
        <v>2</v>
      </c>
      <c r="F106" s="4">
        <v>64</v>
      </c>
      <c r="G106" s="10">
        <v>56</v>
      </c>
      <c r="H106" s="6">
        <f t="shared" si="5"/>
        <v>8</v>
      </c>
      <c r="I106" s="7">
        <f t="shared" si="6"/>
        <v>0.125</v>
      </c>
      <c r="J106" s="10">
        <v>5</v>
      </c>
      <c r="K106" s="7">
        <f t="shared" si="7"/>
        <v>7.8125E-2</v>
      </c>
      <c r="L106" s="6">
        <f t="shared" si="8"/>
        <v>3</v>
      </c>
      <c r="M106" s="7">
        <f t="shared" si="9"/>
        <v>4.6875E-2</v>
      </c>
      <c r="N106" s="10">
        <v>3</v>
      </c>
    </row>
    <row r="107" spans="1:14" x14ac:dyDescent="0.3">
      <c r="A107" s="1" t="s">
        <v>42</v>
      </c>
      <c r="B107" s="5" t="s">
        <v>13</v>
      </c>
      <c r="C107" s="4">
        <v>2</v>
      </c>
      <c r="D107" s="4" t="s">
        <v>156</v>
      </c>
      <c r="E107" s="4">
        <v>4</v>
      </c>
      <c r="F107" s="4">
        <v>64</v>
      </c>
      <c r="G107" s="9">
        <v>55</v>
      </c>
      <c r="H107" s="6">
        <f t="shared" si="5"/>
        <v>9</v>
      </c>
      <c r="I107" s="7">
        <f t="shared" si="6"/>
        <v>0.140625</v>
      </c>
      <c r="J107" s="10">
        <v>6</v>
      </c>
      <c r="K107" s="7">
        <f t="shared" si="7"/>
        <v>9.375E-2</v>
      </c>
      <c r="L107" s="6">
        <f t="shared" si="8"/>
        <v>3</v>
      </c>
      <c r="M107" s="7">
        <f t="shared" si="9"/>
        <v>4.6875E-2</v>
      </c>
      <c r="N107" s="10">
        <v>4</v>
      </c>
    </row>
    <row r="108" spans="1:14" x14ac:dyDescent="0.3">
      <c r="A108" s="1" t="s">
        <v>42</v>
      </c>
      <c r="B108" s="5" t="s">
        <v>13</v>
      </c>
      <c r="C108" s="4">
        <v>3</v>
      </c>
      <c r="D108" s="4" t="s">
        <v>157</v>
      </c>
      <c r="E108" s="4">
        <v>3</v>
      </c>
      <c r="F108" s="4">
        <v>64</v>
      </c>
      <c r="G108" s="9">
        <v>57</v>
      </c>
      <c r="H108" s="6">
        <f t="shared" si="5"/>
        <v>7</v>
      </c>
      <c r="I108" s="7">
        <f t="shared" si="6"/>
        <v>0.109375</v>
      </c>
      <c r="J108" s="10">
        <v>5</v>
      </c>
      <c r="K108" s="7">
        <f t="shared" si="7"/>
        <v>7.8125E-2</v>
      </c>
      <c r="L108" s="6">
        <f t="shared" si="8"/>
        <v>2</v>
      </c>
      <c r="M108" s="7">
        <f t="shared" si="9"/>
        <v>3.125E-2</v>
      </c>
      <c r="N108" s="10">
        <v>5</v>
      </c>
    </row>
    <row r="109" spans="1:14" x14ac:dyDescent="0.3">
      <c r="A109" s="1" t="s">
        <v>42</v>
      </c>
      <c r="B109" s="5" t="s">
        <v>13</v>
      </c>
      <c r="C109" s="4">
        <v>4</v>
      </c>
      <c r="D109" s="4" t="s">
        <v>158</v>
      </c>
      <c r="E109" s="4">
        <v>1</v>
      </c>
      <c r="F109" s="4">
        <v>64</v>
      </c>
      <c r="G109" s="9">
        <v>55</v>
      </c>
      <c r="H109" s="6">
        <f t="shared" si="5"/>
        <v>9</v>
      </c>
      <c r="I109" s="7">
        <f t="shared" si="6"/>
        <v>0.140625</v>
      </c>
      <c r="J109" s="10">
        <v>7</v>
      </c>
      <c r="K109" s="7">
        <f t="shared" si="7"/>
        <v>0.109375</v>
      </c>
      <c r="L109" s="6">
        <f t="shared" si="8"/>
        <v>2</v>
      </c>
      <c r="M109" s="7">
        <f t="shared" si="9"/>
        <v>3.125E-2</v>
      </c>
      <c r="N109" s="10">
        <v>4</v>
      </c>
    </row>
    <row r="110" spans="1:14" x14ac:dyDescent="0.3">
      <c r="A110" s="1" t="s">
        <v>43</v>
      </c>
      <c r="B110" s="5" t="s">
        <v>17</v>
      </c>
      <c r="C110" s="4">
        <v>1</v>
      </c>
      <c r="D110" s="4" t="s">
        <v>159</v>
      </c>
      <c r="E110" s="4">
        <v>2</v>
      </c>
      <c r="F110" s="4">
        <v>64</v>
      </c>
      <c r="G110" s="9">
        <v>53</v>
      </c>
      <c r="H110" s="6">
        <f t="shared" si="5"/>
        <v>11</v>
      </c>
      <c r="I110" s="7">
        <f t="shared" si="6"/>
        <v>0.171875</v>
      </c>
      <c r="J110" s="10">
        <v>6</v>
      </c>
      <c r="K110" s="7">
        <f t="shared" si="7"/>
        <v>9.375E-2</v>
      </c>
      <c r="L110" s="6">
        <f t="shared" si="8"/>
        <v>5</v>
      </c>
      <c r="M110" s="7">
        <f t="shared" si="9"/>
        <v>7.8125E-2</v>
      </c>
      <c r="N110" s="10">
        <v>5</v>
      </c>
    </row>
    <row r="111" spans="1:14" x14ac:dyDescent="0.3">
      <c r="A111" s="1" t="s">
        <v>43</v>
      </c>
      <c r="B111" s="5" t="s">
        <v>17</v>
      </c>
      <c r="C111" s="4">
        <v>2</v>
      </c>
      <c r="D111" s="4" t="s">
        <v>160</v>
      </c>
      <c r="E111" s="4">
        <v>4</v>
      </c>
      <c r="F111" s="4">
        <v>64</v>
      </c>
      <c r="G111" s="9">
        <v>56</v>
      </c>
      <c r="H111" s="6">
        <f t="shared" si="5"/>
        <v>8</v>
      </c>
      <c r="I111" s="7">
        <f t="shared" si="6"/>
        <v>0.125</v>
      </c>
      <c r="J111" s="10">
        <v>5</v>
      </c>
      <c r="K111" s="7">
        <f t="shared" si="7"/>
        <v>7.8125E-2</v>
      </c>
      <c r="L111" s="6">
        <f t="shared" si="8"/>
        <v>3</v>
      </c>
      <c r="M111" s="7">
        <f t="shared" si="9"/>
        <v>4.6875E-2</v>
      </c>
      <c r="N111" s="10">
        <v>5</v>
      </c>
    </row>
    <row r="112" spans="1:14" x14ac:dyDescent="0.3">
      <c r="A112" s="1" t="s">
        <v>43</v>
      </c>
      <c r="B112" s="5" t="s">
        <v>17</v>
      </c>
      <c r="C112" s="4">
        <v>3</v>
      </c>
      <c r="D112" s="4" t="s">
        <v>161</v>
      </c>
      <c r="E112" s="4">
        <v>1</v>
      </c>
      <c r="F112" s="4">
        <v>64</v>
      </c>
      <c r="G112" s="9">
        <v>57</v>
      </c>
      <c r="H112" s="6">
        <f t="shared" si="5"/>
        <v>7</v>
      </c>
      <c r="I112" s="7">
        <f t="shared" si="6"/>
        <v>0.109375</v>
      </c>
      <c r="J112" s="10">
        <v>5</v>
      </c>
      <c r="K112" s="7">
        <f t="shared" si="7"/>
        <v>7.8125E-2</v>
      </c>
      <c r="L112" s="6">
        <f t="shared" si="8"/>
        <v>2</v>
      </c>
      <c r="M112" s="7">
        <f t="shared" si="9"/>
        <v>3.125E-2</v>
      </c>
      <c r="N112" s="10">
        <v>5</v>
      </c>
    </row>
    <row r="113" spans="1:14" x14ac:dyDescent="0.3">
      <c r="A113" s="1" t="s">
        <v>43</v>
      </c>
      <c r="B113" s="5" t="s">
        <v>17</v>
      </c>
      <c r="C113" s="4">
        <v>4</v>
      </c>
      <c r="D113" s="4" t="s">
        <v>162</v>
      </c>
      <c r="E113" s="4">
        <v>3</v>
      </c>
      <c r="F113" s="4">
        <v>64</v>
      </c>
      <c r="G113" s="9">
        <v>57</v>
      </c>
      <c r="H113" s="6">
        <f t="shared" si="5"/>
        <v>7</v>
      </c>
      <c r="I113" s="7">
        <f t="shared" si="6"/>
        <v>0.109375</v>
      </c>
      <c r="J113" s="10">
        <v>5</v>
      </c>
      <c r="K113" s="7">
        <f t="shared" si="7"/>
        <v>7.8125E-2</v>
      </c>
      <c r="L113" s="6">
        <f t="shared" si="8"/>
        <v>2</v>
      </c>
      <c r="M113" s="7">
        <f t="shared" si="9"/>
        <v>3.125E-2</v>
      </c>
      <c r="N113" s="10">
        <v>5</v>
      </c>
    </row>
    <row r="114" spans="1:14" x14ac:dyDescent="0.3">
      <c r="A114" s="1" t="s">
        <v>44</v>
      </c>
      <c r="B114" s="5" t="s">
        <v>13</v>
      </c>
      <c r="C114" s="4">
        <v>1</v>
      </c>
      <c r="D114" s="4" t="s">
        <v>163</v>
      </c>
      <c r="E114" s="4">
        <v>3</v>
      </c>
      <c r="F114" s="4">
        <v>64</v>
      </c>
      <c r="G114" s="9">
        <v>57</v>
      </c>
      <c r="H114" s="6">
        <f t="shared" si="5"/>
        <v>7</v>
      </c>
      <c r="I114" s="7">
        <f t="shared" si="6"/>
        <v>0.109375</v>
      </c>
      <c r="J114" s="10">
        <v>5</v>
      </c>
      <c r="K114" s="7">
        <f t="shared" si="7"/>
        <v>7.8125E-2</v>
      </c>
      <c r="L114" s="6">
        <f t="shared" si="8"/>
        <v>2</v>
      </c>
      <c r="M114" s="7">
        <f t="shared" si="9"/>
        <v>3.125E-2</v>
      </c>
      <c r="N114" s="10">
        <v>5</v>
      </c>
    </row>
    <row r="115" spans="1:14" x14ac:dyDescent="0.3">
      <c r="A115" s="1" t="s">
        <v>44</v>
      </c>
      <c r="B115" s="5" t="s">
        <v>13</v>
      </c>
      <c r="C115" s="4">
        <v>2</v>
      </c>
      <c r="D115" s="4" t="s">
        <v>164</v>
      </c>
      <c r="E115" s="4">
        <v>1</v>
      </c>
      <c r="F115" s="4">
        <v>64</v>
      </c>
      <c r="G115" s="9">
        <v>56</v>
      </c>
      <c r="H115" s="6">
        <f t="shared" si="5"/>
        <v>8</v>
      </c>
      <c r="I115" s="7">
        <f t="shared" si="6"/>
        <v>0.125</v>
      </c>
      <c r="J115" s="10">
        <v>6</v>
      </c>
      <c r="K115" s="7">
        <f t="shared" si="7"/>
        <v>9.375E-2</v>
      </c>
      <c r="L115" s="6">
        <f t="shared" si="8"/>
        <v>2</v>
      </c>
      <c r="M115" s="7">
        <f t="shared" si="9"/>
        <v>3.125E-2</v>
      </c>
      <c r="N115" s="10">
        <v>5</v>
      </c>
    </row>
    <row r="116" spans="1:14" x14ac:dyDescent="0.3">
      <c r="A116" s="1" t="s">
        <v>44</v>
      </c>
      <c r="B116" s="5" t="s">
        <v>13</v>
      </c>
      <c r="C116" s="4">
        <v>3</v>
      </c>
      <c r="D116" s="4" t="s">
        <v>165</v>
      </c>
      <c r="E116" s="4">
        <v>4</v>
      </c>
      <c r="F116" s="4">
        <v>64</v>
      </c>
      <c r="G116" s="9">
        <v>54</v>
      </c>
      <c r="H116" s="6">
        <f t="shared" si="5"/>
        <v>10</v>
      </c>
      <c r="I116" s="7">
        <f t="shared" si="6"/>
        <v>0.15625</v>
      </c>
      <c r="J116" s="10">
        <v>8</v>
      </c>
      <c r="K116" s="7">
        <f t="shared" si="7"/>
        <v>0.125</v>
      </c>
      <c r="L116" s="6">
        <f t="shared" si="8"/>
        <v>2</v>
      </c>
      <c r="M116" s="7">
        <f t="shared" si="9"/>
        <v>3.125E-2</v>
      </c>
      <c r="N116" s="10">
        <v>5</v>
      </c>
    </row>
    <row r="117" spans="1:14" x14ac:dyDescent="0.3">
      <c r="A117" s="1" t="s">
        <v>44</v>
      </c>
      <c r="B117" s="5" t="s">
        <v>13</v>
      </c>
      <c r="C117" s="4">
        <v>4</v>
      </c>
      <c r="D117" s="4" t="s">
        <v>166</v>
      </c>
      <c r="E117" s="4">
        <v>2</v>
      </c>
      <c r="F117" s="4">
        <v>64</v>
      </c>
      <c r="G117" s="9">
        <v>59</v>
      </c>
      <c r="H117" s="6">
        <f t="shared" si="5"/>
        <v>5</v>
      </c>
      <c r="I117" s="7">
        <f t="shared" si="6"/>
        <v>7.8125E-2</v>
      </c>
      <c r="J117" s="10">
        <v>4</v>
      </c>
      <c r="K117" s="7">
        <f t="shared" si="7"/>
        <v>6.25E-2</v>
      </c>
      <c r="L117" s="6">
        <f t="shared" si="8"/>
        <v>1</v>
      </c>
      <c r="M117" s="7">
        <f t="shared" si="9"/>
        <v>1.5625E-2</v>
      </c>
      <c r="N117" s="10">
        <v>5</v>
      </c>
    </row>
    <row r="118" spans="1:14" x14ac:dyDescent="0.3">
      <c r="A118" s="1" t="s">
        <v>45</v>
      </c>
      <c r="B118" s="5" t="s">
        <v>17</v>
      </c>
      <c r="C118" s="4">
        <v>1</v>
      </c>
      <c r="D118" s="4" t="s">
        <v>167</v>
      </c>
      <c r="E118" s="4">
        <v>1</v>
      </c>
      <c r="F118" s="4">
        <v>64</v>
      </c>
      <c r="G118" s="9">
        <v>48</v>
      </c>
      <c r="H118" s="6">
        <f t="shared" si="5"/>
        <v>16</v>
      </c>
      <c r="I118" s="7">
        <f t="shared" si="6"/>
        <v>0.25</v>
      </c>
      <c r="J118" s="10">
        <v>10</v>
      </c>
      <c r="K118" s="7">
        <f t="shared" si="7"/>
        <v>0.15625</v>
      </c>
      <c r="L118" s="6">
        <f t="shared" si="8"/>
        <v>6</v>
      </c>
      <c r="M118" s="7">
        <f t="shared" si="9"/>
        <v>9.375E-2</v>
      </c>
      <c r="N118" s="10">
        <v>3</v>
      </c>
    </row>
    <row r="119" spans="1:14" x14ac:dyDescent="0.3">
      <c r="A119" s="1" t="s">
        <v>45</v>
      </c>
      <c r="B119" s="5" t="s">
        <v>17</v>
      </c>
      <c r="C119" s="4">
        <v>2</v>
      </c>
      <c r="D119" s="4" t="s">
        <v>168</v>
      </c>
      <c r="E119" s="4">
        <v>4</v>
      </c>
      <c r="F119" s="4">
        <v>64</v>
      </c>
      <c r="G119" s="9">
        <v>55</v>
      </c>
      <c r="H119" s="6">
        <f t="shared" si="5"/>
        <v>9</v>
      </c>
      <c r="I119" s="7">
        <f t="shared" si="6"/>
        <v>0.140625</v>
      </c>
      <c r="J119" s="10">
        <v>8</v>
      </c>
      <c r="K119" s="7">
        <f t="shared" si="7"/>
        <v>0.125</v>
      </c>
      <c r="L119" s="6">
        <f t="shared" si="8"/>
        <v>1</v>
      </c>
      <c r="M119" s="7">
        <f t="shared" si="9"/>
        <v>1.5625E-2</v>
      </c>
      <c r="N119" s="10">
        <v>4</v>
      </c>
    </row>
    <row r="120" spans="1:14" x14ac:dyDescent="0.3">
      <c r="A120" s="1" t="s">
        <v>45</v>
      </c>
      <c r="B120" s="5" t="s">
        <v>17</v>
      </c>
      <c r="C120" s="4">
        <v>3</v>
      </c>
      <c r="D120" s="4" t="s">
        <v>169</v>
      </c>
      <c r="E120" s="4">
        <v>2</v>
      </c>
      <c r="F120" s="4">
        <v>64</v>
      </c>
      <c r="G120" s="9">
        <v>54</v>
      </c>
      <c r="H120" s="6">
        <f t="shared" si="5"/>
        <v>10</v>
      </c>
      <c r="I120" s="7">
        <f t="shared" si="6"/>
        <v>0.15625</v>
      </c>
      <c r="J120" s="10">
        <v>5</v>
      </c>
      <c r="K120" s="7">
        <f t="shared" si="7"/>
        <v>7.8125E-2</v>
      </c>
      <c r="L120" s="6">
        <f t="shared" si="8"/>
        <v>5</v>
      </c>
      <c r="M120" s="7">
        <f t="shared" si="9"/>
        <v>7.8125E-2</v>
      </c>
      <c r="N120" s="10">
        <v>5</v>
      </c>
    </row>
    <row r="121" spans="1:14" x14ac:dyDescent="0.3">
      <c r="A121" s="1" t="s">
        <v>45</v>
      </c>
      <c r="B121" s="5" t="s">
        <v>17</v>
      </c>
      <c r="C121" s="4">
        <v>4</v>
      </c>
      <c r="D121" s="4" t="s">
        <v>170</v>
      </c>
      <c r="E121" s="4">
        <v>3</v>
      </c>
      <c r="F121" s="4">
        <v>64</v>
      </c>
      <c r="G121" s="9">
        <v>50</v>
      </c>
      <c r="H121" s="6">
        <f t="shared" si="5"/>
        <v>14</v>
      </c>
      <c r="I121" s="7">
        <f t="shared" si="6"/>
        <v>0.21875</v>
      </c>
      <c r="J121" s="10">
        <v>8</v>
      </c>
      <c r="K121" s="7">
        <f t="shared" si="7"/>
        <v>0.125</v>
      </c>
      <c r="L121" s="6">
        <f t="shared" si="8"/>
        <v>6</v>
      </c>
      <c r="M121" s="7">
        <f t="shared" si="9"/>
        <v>9.375E-2</v>
      </c>
      <c r="N121" s="10">
        <v>4</v>
      </c>
    </row>
    <row r="122" spans="1:14" x14ac:dyDescent="0.3">
      <c r="A122" s="1" t="s">
        <v>46</v>
      </c>
      <c r="B122" s="5" t="s">
        <v>30</v>
      </c>
      <c r="C122" s="4">
        <v>1</v>
      </c>
      <c r="D122" s="4" t="s">
        <v>171</v>
      </c>
      <c r="E122" s="4">
        <v>1</v>
      </c>
      <c r="F122" s="4">
        <v>64</v>
      </c>
      <c r="G122" s="9">
        <v>55</v>
      </c>
      <c r="H122" s="6">
        <f t="shared" si="5"/>
        <v>9</v>
      </c>
      <c r="I122" s="7">
        <f t="shared" si="6"/>
        <v>0.140625</v>
      </c>
      <c r="J122" s="10">
        <v>6</v>
      </c>
      <c r="K122" s="7">
        <f t="shared" si="7"/>
        <v>9.375E-2</v>
      </c>
      <c r="L122" s="6">
        <f t="shared" si="8"/>
        <v>3</v>
      </c>
      <c r="M122" s="7">
        <f t="shared" si="9"/>
        <v>4.6875E-2</v>
      </c>
      <c r="N122" s="10">
        <v>5</v>
      </c>
    </row>
    <row r="123" spans="1:14" x14ac:dyDescent="0.3">
      <c r="A123" s="1" t="s">
        <v>46</v>
      </c>
      <c r="B123" s="5" t="s">
        <v>30</v>
      </c>
      <c r="C123" s="4">
        <v>2</v>
      </c>
      <c r="D123" s="4" t="s">
        <v>172</v>
      </c>
      <c r="E123" s="4">
        <v>2</v>
      </c>
      <c r="F123" s="4">
        <v>64</v>
      </c>
      <c r="G123" s="9">
        <v>56</v>
      </c>
      <c r="H123" s="6">
        <f t="shared" si="5"/>
        <v>8</v>
      </c>
      <c r="I123" s="7">
        <f t="shared" si="6"/>
        <v>0.125</v>
      </c>
      <c r="J123" s="10">
        <v>6</v>
      </c>
      <c r="K123" s="7">
        <f t="shared" si="7"/>
        <v>9.375E-2</v>
      </c>
      <c r="L123" s="6">
        <f t="shared" si="8"/>
        <v>2</v>
      </c>
      <c r="M123" s="7">
        <f t="shared" si="9"/>
        <v>3.125E-2</v>
      </c>
      <c r="N123" s="10">
        <v>4</v>
      </c>
    </row>
    <row r="124" spans="1:14" x14ac:dyDescent="0.3">
      <c r="A124" s="1" t="s">
        <v>46</v>
      </c>
      <c r="B124" s="5" t="s">
        <v>30</v>
      </c>
      <c r="C124" s="4">
        <v>3</v>
      </c>
      <c r="D124" s="4" t="s">
        <v>173</v>
      </c>
      <c r="E124" s="4">
        <v>4</v>
      </c>
      <c r="F124" s="4">
        <v>64</v>
      </c>
      <c r="G124" s="9">
        <v>52</v>
      </c>
      <c r="H124" s="6">
        <f t="shared" si="5"/>
        <v>12</v>
      </c>
      <c r="I124" s="7">
        <f t="shared" si="6"/>
        <v>0.1875</v>
      </c>
      <c r="J124" s="10">
        <v>4</v>
      </c>
      <c r="K124" s="7">
        <f t="shared" si="7"/>
        <v>6.25E-2</v>
      </c>
      <c r="L124" s="6">
        <f t="shared" si="8"/>
        <v>8</v>
      </c>
      <c r="M124" s="7">
        <f t="shared" si="9"/>
        <v>0.125</v>
      </c>
      <c r="N124" s="10">
        <v>2</v>
      </c>
    </row>
    <row r="125" spans="1:14" x14ac:dyDescent="0.3">
      <c r="A125" s="1" t="s">
        <v>46</v>
      </c>
      <c r="B125" s="5" t="s">
        <v>30</v>
      </c>
      <c r="C125" s="4">
        <v>4</v>
      </c>
      <c r="D125" s="4" t="s">
        <v>174</v>
      </c>
      <c r="E125" s="4">
        <v>3</v>
      </c>
      <c r="F125" s="4">
        <v>64</v>
      </c>
      <c r="G125" s="9">
        <v>58</v>
      </c>
      <c r="H125" s="6">
        <f t="shared" si="5"/>
        <v>6</v>
      </c>
      <c r="I125" s="7">
        <f t="shared" si="6"/>
        <v>9.375E-2</v>
      </c>
      <c r="J125" s="10">
        <v>3</v>
      </c>
      <c r="K125" s="7">
        <f t="shared" si="7"/>
        <v>4.6875E-2</v>
      </c>
      <c r="L125" s="6">
        <f t="shared" si="8"/>
        <v>3</v>
      </c>
      <c r="M125" s="7">
        <f t="shared" si="9"/>
        <v>4.6875E-2</v>
      </c>
      <c r="N125" s="10">
        <v>4</v>
      </c>
    </row>
    <row r="126" spans="1:14" x14ac:dyDescent="0.3">
      <c r="A126" s="1" t="s">
        <v>47</v>
      </c>
      <c r="B126" s="5" t="s">
        <v>17</v>
      </c>
      <c r="C126" s="4">
        <v>1</v>
      </c>
      <c r="D126" s="4" t="s">
        <v>175</v>
      </c>
      <c r="E126" s="4">
        <v>2</v>
      </c>
      <c r="F126" s="4">
        <v>64</v>
      </c>
      <c r="G126" s="9">
        <v>57</v>
      </c>
      <c r="H126" s="6">
        <f t="shared" si="5"/>
        <v>7</v>
      </c>
      <c r="I126" s="7">
        <f t="shared" si="6"/>
        <v>0.109375</v>
      </c>
      <c r="J126" s="10">
        <v>5</v>
      </c>
      <c r="K126" s="7">
        <f t="shared" si="7"/>
        <v>7.8125E-2</v>
      </c>
      <c r="L126" s="6">
        <f t="shared" si="8"/>
        <v>2</v>
      </c>
      <c r="M126" s="7">
        <f t="shared" si="9"/>
        <v>3.125E-2</v>
      </c>
      <c r="N126" s="10">
        <v>5</v>
      </c>
    </row>
    <row r="127" spans="1:14" x14ac:dyDescent="0.3">
      <c r="A127" s="1" t="s">
        <v>47</v>
      </c>
      <c r="B127" s="5" t="s">
        <v>17</v>
      </c>
      <c r="C127" s="4">
        <v>2</v>
      </c>
      <c r="D127" s="4" t="s">
        <v>176</v>
      </c>
      <c r="E127" s="4">
        <v>1</v>
      </c>
      <c r="F127" s="4">
        <v>64</v>
      </c>
      <c r="G127" s="9">
        <v>55</v>
      </c>
      <c r="H127" s="6">
        <f t="shared" si="5"/>
        <v>9</v>
      </c>
      <c r="I127" s="7">
        <f t="shared" si="6"/>
        <v>0.140625</v>
      </c>
      <c r="J127" s="10">
        <v>6</v>
      </c>
      <c r="K127" s="7">
        <f t="shared" si="7"/>
        <v>9.375E-2</v>
      </c>
      <c r="L127" s="6">
        <f t="shared" si="8"/>
        <v>3</v>
      </c>
      <c r="M127" s="7">
        <f t="shared" si="9"/>
        <v>4.6875E-2</v>
      </c>
      <c r="N127" s="10">
        <v>5</v>
      </c>
    </row>
    <row r="128" spans="1:14" x14ac:dyDescent="0.3">
      <c r="A128" s="1" t="s">
        <v>47</v>
      </c>
      <c r="B128" s="5" t="s">
        <v>17</v>
      </c>
      <c r="C128" s="4">
        <v>3</v>
      </c>
      <c r="D128" s="4" t="s">
        <v>177</v>
      </c>
      <c r="E128" s="4">
        <v>4</v>
      </c>
      <c r="F128" s="4">
        <v>64</v>
      </c>
      <c r="G128" s="9">
        <v>56</v>
      </c>
      <c r="H128" s="6">
        <f t="shared" si="5"/>
        <v>8</v>
      </c>
      <c r="I128" s="7">
        <f t="shared" si="6"/>
        <v>0.125</v>
      </c>
      <c r="J128" s="10">
        <v>5</v>
      </c>
      <c r="K128" s="7">
        <f t="shared" si="7"/>
        <v>7.8125E-2</v>
      </c>
      <c r="L128" s="6">
        <f t="shared" si="8"/>
        <v>3</v>
      </c>
      <c r="M128" s="7">
        <f t="shared" si="9"/>
        <v>4.6875E-2</v>
      </c>
      <c r="N128" s="10">
        <v>5</v>
      </c>
    </row>
    <row r="129" spans="1:14" x14ac:dyDescent="0.3">
      <c r="A129" s="1" t="s">
        <v>47</v>
      </c>
      <c r="B129" s="5" t="s">
        <v>17</v>
      </c>
      <c r="C129" s="4">
        <v>4</v>
      </c>
      <c r="D129" s="4" t="s">
        <v>178</v>
      </c>
      <c r="E129" s="4">
        <v>3</v>
      </c>
      <c r="F129" s="4">
        <v>64</v>
      </c>
      <c r="G129" s="9">
        <v>52</v>
      </c>
      <c r="H129" s="6">
        <f t="shared" si="5"/>
        <v>12</v>
      </c>
      <c r="I129" s="7">
        <f t="shared" si="6"/>
        <v>0.1875</v>
      </c>
      <c r="J129" s="10">
        <v>4</v>
      </c>
      <c r="K129" s="7">
        <f t="shared" si="7"/>
        <v>6.25E-2</v>
      </c>
      <c r="L129" s="6">
        <f t="shared" si="8"/>
        <v>8</v>
      </c>
      <c r="M129" s="7">
        <f t="shared" si="9"/>
        <v>0.125</v>
      </c>
      <c r="N129" s="10">
        <v>4</v>
      </c>
    </row>
    <row r="130" spans="1:14" x14ac:dyDescent="0.3">
      <c r="A130" s="1" t="s">
        <v>48</v>
      </c>
      <c r="B130" s="5" t="s">
        <v>17</v>
      </c>
      <c r="C130" s="4">
        <v>1</v>
      </c>
      <c r="D130" s="4" t="s">
        <v>179</v>
      </c>
      <c r="E130" s="4">
        <v>3</v>
      </c>
      <c r="F130" s="4">
        <v>64</v>
      </c>
      <c r="G130" s="9">
        <v>54</v>
      </c>
      <c r="H130" s="6">
        <f t="shared" si="5"/>
        <v>10</v>
      </c>
      <c r="I130" s="7">
        <f t="shared" si="6"/>
        <v>0.15625</v>
      </c>
      <c r="J130" s="10">
        <v>7</v>
      </c>
      <c r="K130" s="7">
        <f t="shared" si="7"/>
        <v>0.109375</v>
      </c>
      <c r="L130" s="6">
        <f t="shared" si="8"/>
        <v>3</v>
      </c>
      <c r="M130" s="7">
        <f t="shared" si="9"/>
        <v>4.6875E-2</v>
      </c>
      <c r="N130" s="10">
        <v>5</v>
      </c>
    </row>
    <row r="131" spans="1:14" x14ac:dyDescent="0.3">
      <c r="A131" s="1" t="s">
        <v>48</v>
      </c>
      <c r="B131" s="5" t="s">
        <v>17</v>
      </c>
      <c r="C131" s="4">
        <v>2</v>
      </c>
      <c r="D131" s="4" t="s">
        <v>180</v>
      </c>
      <c r="E131" s="4">
        <v>1</v>
      </c>
      <c r="F131" s="4">
        <v>64</v>
      </c>
      <c r="G131" s="9">
        <v>54</v>
      </c>
      <c r="H131" s="6">
        <f t="shared" ref="H131:H133" si="10">F131-G131</f>
        <v>10</v>
      </c>
      <c r="I131" s="7">
        <f t="shared" ref="I131:I133" si="11">H131/F131</f>
        <v>0.15625</v>
      </c>
      <c r="J131" s="10">
        <v>7</v>
      </c>
      <c r="K131" s="7">
        <f t="shared" ref="K131:K133" si="12">J131/F131</f>
        <v>0.109375</v>
      </c>
      <c r="L131" s="6">
        <f t="shared" ref="L131:L133" si="13">64-G131-J131</f>
        <v>3</v>
      </c>
      <c r="M131" s="7">
        <f t="shared" ref="M131:M133" si="14">L131/F131</f>
        <v>4.6875E-2</v>
      </c>
      <c r="N131" s="10">
        <v>4</v>
      </c>
    </row>
    <row r="132" spans="1:14" x14ac:dyDescent="0.3">
      <c r="A132" s="1" t="s">
        <v>48</v>
      </c>
      <c r="B132" s="5" t="s">
        <v>17</v>
      </c>
      <c r="C132" s="4">
        <v>3</v>
      </c>
      <c r="D132" s="4" t="s">
        <v>181</v>
      </c>
      <c r="E132" s="4">
        <v>4</v>
      </c>
      <c r="F132" s="4">
        <v>64</v>
      </c>
      <c r="G132" s="9">
        <v>55</v>
      </c>
      <c r="H132" s="6">
        <f t="shared" si="10"/>
        <v>9</v>
      </c>
      <c r="I132" s="7">
        <f t="shared" si="11"/>
        <v>0.140625</v>
      </c>
      <c r="J132" s="10">
        <v>7</v>
      </c>
      <c r="K132" s="7">
        <f t="shared" si="12"/>
        <v>0.109375</v>
      </c>
      <c r="L132" s="6">
        <f t="shared" si="13"/>
        <v>2</v>
      </c>
      <c r="M132" s="7">
        <f t="shared" si="14"/>
        <v>3.125E-2</v>
      </c>
      <c r="N132" s="10">
        <v>5</v>
      </c>
    </row>
    <row r="133" spans="1:14" x14ac:dyDescent="0.3">
      <c r="A133" s="1" t="s">
        <v>48</v>
      </c>
      <c r="B133" s="5" t="s">
        <v>17</v>
      </c>
      <c r="C133" s="4">
        <v>4</v>
      </c>
      <c r="D133" s="4" t="s">
        <v>182</v>
      </c>
      <c r="E133" s="4">
        <v>2</v>
      </c>
      <c r="F133" s="4">
        <v>64</v>
      </c>
      <c r="G133" s="9">
        <v>55</v>
      </c>
      <c r="H133" s="6">
        <f t="shared" si="10"/>
        <v>9</v>
      </c>
      <c r="I133" s="7">
        <f t="shared" si="11"/>
        <v>0.140625</v>
      </c>
      <c r="J133" s="10">
        <v>6</v>
      </c>
      <c r="K133" s="7">
        <f t="shared" si="12"/>
        <v>9.375E-2</v>
      </c>
      <c r="L133" s="6">
        <f t="shared" si="13"/>
        <v>3</v>
      </c>
      <c r="M133" s="7">
        <f t="shared" si="14"/>
        <v>4.6875E-2</v>
      </c>
      <c r="N133" s="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Kobas</dc:creator>
  <cp:lastModifiedBy>Bilge Kobas</cp:lastModifiedBy>
  <dcterms:created xsi:type="dcterms:W3CDTF">2023-04-03T08:44:33Z</dcterms:created>
  <dcterms:modified xsi:type="dcterms:W3CDTF">2023-04-03T16:47:46Z</dcterms:modified>
</cp:coreProperties>
</file>